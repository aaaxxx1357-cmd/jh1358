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kuniv-my.sharepoint.com/personal/32227363_dankook_ac_kr/Documents/"/>
    </mc:Choice>
  </mc:AlternateContent>
  <xr:revisionPtr revIDLastSave="0" documentId="8_{264651A9-3D03-465F-8F5E-6EC25915140C}" xr6:coauthVersionLast="47" xr6:coauthVersionMax="47" xr10:uidLastSave="{00000000-0000-0000-0000-000000000000}"/>
  <bookViews>
    <workbookView xWindow="-110" yWindow="-110" windowWidth="25820" windowHeight="15500" xr2:uid="{F329DAB3-11BE-4B67-83F7-1AFEBD3F0DE1}"/>
  </bookViews>
  <sheets>
    <sheet name="CashFlow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8" i="1"/>
  <c r="C75" i="1"/>
  <c r="C74" i="1"/>
  <c r="C25" i="1"/>
  <c r="H22" i="1"/>
  <c r="I22" i="1"/>
  <c r="C12" i="1"/>
  <c r="F103" i="1"/>
  <c r="G41" i="1"/>
  <c r="J22" i="1"/>
  <c r="J31" i="1"/>
  <c r="E53" i="1" s="1"/>
  <c r="F39" i="1"/>
  <c r="G39" i="1" s="1"/>
  <c r="H39" i="1" s="1"/>
  <c r="I39" i="1" s="1"/>
  <c r="J39" i="1" s="1"/>
  <c r="K39" i="1" s="1"/>
  <c r="E49" i="1"/>
  <c r="C10" i="1"/>
  <c r="J30" i="1"/>
  <c r="G25" i="1" l="1"/>
  <c r="F41" i="1"/>
  <c r="G103" i="1"/>
  <c r="G37" i="1"/>
  <c r="H37" i="1" s="1"/>
  <c r="I37" i="1" s="1"/>
  <c r="J37" i="1" s="1"/>
  <c r="H103" i="1" l="1"/>
  <c r="I103" i="1"/>
  <c r="E103" i="1"/>
  <c r="D103" i="1"/>
  <c r="I41" i="1"/>
  <c r="J41" i="1" s="1"/>
  <c r="K41" i="1" s="1"/>
  <c r="H41" i="1"/>
  <c r="E76" i="1"/>
  <c r="G73" i="1"/>
  <c r="J49" i="1" l="1"/>
  <c r="F43" i="1"/>
  <c r="G38" i="1"/>
  <c r="H38" i="1" l="1"/>
  <c r="I38" i="1" s="1"/>
  <c r="G43" i="1"/>
  <c r="F40" i="1"/>
  <c r="F42" i="1" s="1"/>
  <c r="F44" i="1" s="1"/>
  <c r="F45" i="1"/>
  <c r="H43" i="1" l="1"/>
  <c r="J38" i="1"/>
  <c r="I43" i="1"/>
  <c r="K38" i="1" l="1"/>
  <c r="K43" i="1" s="1"/>
  <c r="J43" i="1"/>
  <c r="H45" i="1"/>
  <c r="G45" i="1" l="1"/>
  <c r="H40" i="1"/>
  <c r="H42" i="1" s="1"/>
  <c r="H44" i="1" s="1"/>
  <c r="G40" i="1"/>
  <c r="G42" i="1" s="1"/>
  <c r="G44" i="1" s="1"/>
  <c r="I40" i="1" l="1"/>
  <c r="I42" i="1" s="1"/>
  <c r="I44" i="1" s="1"/>
  <c r="I45" i="1"/>
  <c r="J45" i="1" l="1"/>
  <c r="K37" i="1"/>
  <c r="K40" i="1" s="1"/>
  <c r="J40" i="1"/>
  <c r="J42" i="1" s="1"/>
  <c r="J44" i="1" s="1"/>
  <c r="K45" i="1" l="1"/>
  <c r="K42" i="1"/>
  <c r="K44" i="1" s="1"/>
  <c r="J54" i="1" s="1"/>
  <c r="C7" i="1"/>
  <c r="E50" i="1" s="1"/>
  <c r="D7" i="1"/>
  <c r="E7" i="1"/>
  <c r="F46" i="1"/>
  <c r="F47" i="1" s="1"/>
  <c r="G46" i="1"/>
  <c r="G47" i="1" s="1"/>
  <c r="G57" i="1" s="1"/>
  <c r="H46" i="1"/>
  <c r="I46" i="1" s="1"/>
  <c r="E52" i="1"/>
  <c r="C73" i="1"/>
  <c r="E73" i="1"/>
  <c r="J46" i="1" l="1"/>
  <c r="I47" i="1"/>
  <c r="I57" i="1" s="1"/>
  <c r="H47" i="1"/>
  <c r="H57" i="1" s="1"/>
  <c r="E59" i="1"/>
  <c r="F59" i="1" s="1"/>
  <c r="E48" i="1"/>
  <c r="F57" i="1"/>
  <c r="E58" i="1" l="1"/>
  <c r="E57" i="1"/>
  <c r="J47" i="1"/>
  <c r="K46" i="1"/>
  <c r="K47" i="1" s="1"/>
  <c r="K57" i="1" s="1"/>
  <c r="J57" i="1" l="1"/>
  <c r="H62" i="1"/>
  <c r="G62" i="1"/>
  <c r="G63" i="1" s="1"/>
  <c r="F62" i="1"/>
  <c r="H61" i="1"/>
  <c r="J58" i="1"/>
  <c r="G74" i="1"/>
  <c r="E60" i="1"/>
  <c r="I62" i="1"/>
  <c r="D89" i="1" l="1"/>
  <c r="C89" i="1"/>
  <c r="F63" i="1"/>
  <c r="C76" i="1"/>
  <c r="D74" i="1" s="1"/>
  <c r="J62" i="1"/>
  <c r="G89" i="1" s="1"/>
  <c r="I63" i="1"/>
  <c r="E63" i="1"/>
  <c r="D57" i="1"/>
  <c r="H63" i="1"/>
  <c r="E89" i="1" s="1"/>
  <c r="F89" i="1" l="1"/>
  <c r="D73" i="1"/>
  <c r="G75" i="1"/>
  <c r="D75" i="1"/>
  <c r="J63" i="1"/>
  <c r="D63" i="1" s="1"/>
  <c r="D76" i="1" l="1"/>
  <c r="C103" i="1"/>
  <c r="C83" i="1"/>
  <c r="C85" i="1" s="1"/>
  <c r="G76" i="1"/>
  <c r="H75" i="1" s="1"/>
  <c r="C117" i="1"/>
  <c r="H73" i="1" l="1"/>
  <c r="H74" i="1"/>
  <c r="C88" i="1"/>
  <c r="D88" i="1"/>
  <c r="E88" i="1"/>
  <c r="F88" i="1"/>
  <c r="G88" i="1"/>
  <c r="H76" i="1" l="1"/>
  <c r="G91" i="1"/>
  <c r="G90" i="1"/>
  <c r="G93" i="1" s="1"/>
  <c r="E90" i="1"/>
  <c r="E93" i="1" s="1"/>
  <c r="E91" i="1"/>
  <c r="D91" i="1"/>
  <c r="D90" i="1"/>
  <c r="D93" i="1" s="1"/>
  <c r="C91" i="1"/>
  <c r="C90" i="1"/>
  <c r="C93" i="1" s="1"/>
  <c r="F91" i="1"/>
  <c r="F90" i="1"/>
  <c r="F93" i="1" s="1"/>
  <c r="H93" i="1" l="1"/>
  <c r="H90" i="1"/>
  <c r="C1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</author>
  </authors>
  <commentList>
    <comment ref="B36" authorId="0" shapeId="0" xr:uid="{C7B23F0E-2242-4C13-B182-3DFC82E02CBF}">
      <text>
        <r>
          <rPr>
            <b/>
            <sz val="9"/>
            <color indexed="81"/>
            <rFont val="돋움"/>
            <family val="3"/>
            <charset val="129"/>
          </rPr>
          <t>설정한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공사기간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공실율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62" authorId="0" shapeId="0" xr:uid="{6324C03E-D7FC-48F3-838E-F7BBDF775FC0}">
      <text>
        <r>
          <rPr>
            <b/>
            <sz val="9"/>
            <color indexed="81"/>
            <rFont val="돋움"/>
            <family val="3"/>
            <charset val="129"/>
          </rPr>
          <t>이자율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바뀌어야할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99" authorId="0" shapeId="0" xr:uid="{8C00570E-A187-4FEE-A8A2-E2EE04E9EE55}">
      <text>
        <r>
          <rPr>
            <b/>
            <sz val="9"/>
            <color indexed="81"/>
            <rFont val="돋움"/>
            <family val="3"/>
            <charset val="129"/>
          </rPr>
          <t>민감도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바뀝니다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민감도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참고해주세요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<sst xmlns="http://schemas.openxmlformats.org/spreadsheetml/2006/main" count="149" uniqueCount="131">
  <si>
    <t>씨티센터타워</t>
  </si>
  <si>
    <t>팀원</t>
    <phoneticPr fontId="2" type="noConversion"/>
  </si>
  <si>
    <t>Project(천원/평)</t>
    <phoneticPr fontId="2" type="noConversion"/>
  </si>
  <si>
    <t>자산</t>
    <phoneticPr fontId="2" type="noConversion"/>
  </si>
  <si>
    <t>위치</t>
    <phoneticPr fontId="2" type="noConversion"/>
  </si>
  <si>
    <t>구분</t>
    <phoneticPr fontId="2" type="noConversion"/>
  </si>
  <si>
    <t>내용</t>
    <phoneticPr fontId="2" type="noConversion"/>
  </si>
  <si>
    <t>평당가(평)</t>
    <phoneticPr fontId="2" type="noConversion"/>
  </si>
  <si>
    <t>매입가</t>
    <phoneticPr fontId="2" type="noConversion"/>
  </si>
  <si>
    <r>
      <rPr>
        <sz val="11"/>
        <rFont val="맑은 고딕"/>
        <family val="3"/>
        <charset val="129"/>
        <scheme val="minor"/>
      </rPr>
      <t>할인율</t>
    </r>
    <phoneticPr fontId="2" type="noConversion"/>
  </si>
  <si>
    <t>GFA(연면적)</t>
  </si>
  <si>
    <t>(평)  1층 우리은행 구분소유 면적 386.73㎡ 제외</t>
  </si>
  <si>
    <t>Net(전용면적)</t>
  </si>
  <si>
    <t>(평)</t>
    <phoneticPr fontId="2" type="noConversion"/>
  </si>
  <si>
    <t>Effiency rate(전용률)</t>
  </si>
  <si>
    <t>토지비중</t>
  </si>
  <si>
    <t>건폐율</t>
    <phoneticPr fontId="2" type="noConversion"/>
  </si>
  <si>
    <t>주차대수</t>
    <phoneticPr fontId="2" type="noConversion"/>
  </si>
  <si>
    <t>124평 당 1대 무료주차 : 무료주차는 65.69대/25대 중 5대는 전기차충전기 사업체에게 고정적임대</t>
  </si>
  <si>
    <t>주차수입</t>
    <phoneticPr fontId="2" type="noConversion"/>
  </si>
  <si>
    <t>1대 당 월 20만 원</t>
  </si>
  <si>
    <t>임대관리비</t>
    <phoneticPr fontId="2" type="noConversion"/>
  </si>
  <si>
    <t>Cash Flow Assumption(천원/평)</t>
    <phoneticPr fontId="2" type="noConversion"/>
  </si>
  <si>
    <t>리모델링 후</t>
    <phoneticPr fontId="2" type="noConversion"/>
  </si>
  <si>
    <t xml:space="preserve"> Deposit(보증금)</t>
    <phoneticPr fontId="3" type="noConversion"/>
  </si>
  <si>
    <t xml:space="preserve"> Rent(임대료)</t>
    <phoneticPr fontId="3" type="noConversion"/>
  </si>
  <si>
    <t xml:space="preserve"> Maintenance(관리비)</t>
    <phoneticPr fontId="3" type="noConversion"/>
  </si>
  <si>
    <t>Maintenance(관리비)</t>
    <phoneticPr fontId="3" type="noConversion"/>
  </si>
  <si>
    <t>임대료 상승률</t>
    <phoneticPr fontId="2" type="noConversion"/>
  </si>
  <si>
    <t>Rent</t>
  </si>
  <si>
    <t>Rent escalation rate</t>
  </si>
  <si>
    <t>Maintenance cost</t>
  </si>
  <si>
    <t>(관리비 수입의 80%, 보수적)</t>
    <phoneticPr fontId="2" type="noConversion"/>
  </si>
  <si>
    <t xml:space="preserve">&lt;공사기간&gt; </t>
    <phoneticPr fontId="2" type="noConversion"/>
  </si>
  <si>
    <t xml:space="preserve">&lt;리모델링 후&gt; </t>
    <phoneticPr fontId="2" type="noConversion"/>
  </si>
  <si>
    <t>Vacancy</t>
  </si>
  <si>
    <t>(공실률)</t>
    <phoneticPr fontId="2" type="noConversion"/>
  </si>
  <si>
    <t>선순위 담보대출</t>
    <phoneticPr fontId="2" type="noConversion"/>
  </si>
  <si>
    <t>공사비</t>
  </si>
  <si>
    <t>공사면적</t>
  </si>
  <si>
    <t>12층 공실</t>
  </si>
  <si>
    <t>금리(All-in-cost 이자율)</t>
    <phoneticPr fontId="2" type="noConversion"/>
  </si>
  <si>
    <t>(고정금리)</t>
    <phoneticPr fontId="2" type="noConversion"/>
  </si>
  <si>
    <t>스피드게이트 설치비용</t>
  </si>
  <si>
    <t xml:space="preserve"> 1대 당 8,100(천원)                        평당가</t>
    <phoneticPr fontId="2" type="noConversion"/>
  </si>
  <si>
    <t>Refinancing 선순위 담보대출</t>
    <phoneticPr fontId="2" type="noConversion"/>
  </si>
  <si>
    <t>자판기 설치비용</t>
  </si>
  <si>
    <t>외부업체와 제휴</t>
  </si>
  <si>
    <t>(3년 차 Refinancing, 고정금리)</t>
    <phoneticPr fontId="2" type="noConversion"/>
  </si>
  <si>
    <t>쇼파 설치비용</t>
  </si>
  <si>
    <t>현대 리바트오피스 모듈형 4인용 소파</t>
  </si>
  <si>
    <t>Initial cap rate</t>
    <phoneticPr fontId="2" type="noConversion"/>
  </si>
  <si>
    <t>(매입 시 자본환원률)</t>
    <phoneticPr fontId="2" type="noConversion"/>
  </si>
  <si>
    <t>전기차 충전기 설치비용</t>
  </si>
  <si>
    <t>Terminal cap rate</t>
    <phoneticPr fontId="2" type="noConversion"/>
  </si>
  <si>
    <t>(매각 시 자본환원률)</t>
    <phoneticPr fontId="2" type="noConversion"/>
  </si>
  <si>
    <t>G-SEED 인증비용</t>
  </si>
  <si>
    <t>합계(자본적 지출)</t>
  </si>
  <si>
    <t>Cash Flow Projection(천원/평)</t>
  </si>
  <si>
    <t>(단위: 천원)</t>
    <phoneticPr fontId="2" type="noConversion"/>
  </si>
  <si>
    <t>Year 0</t>
    <phoneticPr fontId="2" type="noConversion"/>
  </si>
  <si>
    <t>Year 1</t>
    <phoneticPr fontId="2" type="noConversion"/>
  </si>
  <si>
    <t>Year 2</t>
    <phoneticPr fontId="2" type="noConversion"/>
  </si>
  <si>
    <t>Year 3</t>
    <phoneticPr fontId="2" type="noConversion"/>
  </si>
  <si>
    <t>Year 4</t>
    <phoneticPr fontId="2" type="noConversion"/>
  </si>
  <si>
    <t>Year 5</t>
    <phoneticPr fontId="2" type="noConversion"/>
  </si>
  <si>
    <t>Year 6</t>
    <phoneticPr fontId="2" type="noConversion"/>
  </si>
  <si>
    <t>Income</t>
    <phoneticPr fontId="2" type="noConversion"/>
  </si>
  <si>
    <t>Rent Income(임대수입)</t>
    <phoneticPr fontId="2" type="noConversion"/>
  </si>
  <si>
    <t>Maintenance Income(관리비수입)</t>
  </si>
  <si>
    <t>Other Income(주차수입 등)</t>
  </si>
  <si>
    <t>PGI</t>
    <phoneticPr fontId="2" type="noConversion"/>
  </si>
  <si>
    <t>Vacancy rate (공실률)</t>
  </si>
  <si>
    <t>EGI</t>
    <phoneticPr fontId="2" type="noConversion"/>
  </si>
  <si>
    <t>Maintenance cost(관리비 원가)</t>
  </si>
  <si>
    <t>NOI</t>
    <phoneticPr fontId="2" type="noConversion"/>
  </si>
  <si>
    <t>Leasing costs(임대관리비) 보유세 등</t>
  </si>
  <si>
    <t>Asset Management Fee(0.3%) 자산운용보수</t>
  </si>
  <si>
    <t>NI</t>
    <phoneticPr fontId="2" type="noConversion"/>
  </si>
  <si>
    <t>Net Purchase Price(순 매입금액)</t>
  </si>
  <si>
    <t>Deposit(보증금)</t>
  </si>
  <si>
    <t>부가세(건물분, 10%)</t>
    <phoneticPr fontId="2" type="noConversion"/>
  </si>
  <si>
    <t>Tax(취득세, 4.6%)</t>
    <phoneticPr fontId="2" type="noConversion"/>
  </si>
  <si>
    <t>Deal cost(1%) 중개수수료, 실사비용 등</t>
  </si>
  <si>
    <t>Capex(자본적지출, 리모델링 비용)</t>
    <phoneticPr fontId="2" type="noConversion"/>
  </si>
  <si>
    <t>Exit Proceeds(매각금액)</t>
  </si>
  <si>
    <t>CF (Unleveraged)</t>
    <phoneticPr fontId="2" type="noConversion"/>
  </si>
  <si>
    <t>Loan</t>
  </si>
  <si>
    <t>VAT Loan</t>
  </si>
  <si>
    <t>Financing Fee(1%)</t>
    <phoneticPr fontId="2" type="noConversion"/>
  </si>
  <si>
    <t>Refinancing Fee(1%), 3년도</t>
    <phoneticPr fontId="2" type="noConversion"/>
  </si>
  <si>
    <t>Interest Expense</t>
  </si>
  <si>
    <t>CF (Leveraged)</t>
    <phoneticPr fontId="2" type="noConversion"/>
  </si>
  <si>
    <t>Investment amount and financing(천원/평)</t>
    <phoneticPr fontId="2" type="noConversion"/>
  </si>
  <si>
    <t>투자금액</t>
    <phoneticPr fontId="2" type="noConversion"/>
  </si>
  <si>
    <t>조달금액</t>
    <phoneticPr fontId="2" type="noConversion"/>
  </si>
  <si>
    <t>금액(천원)</t>
    <phoneticPr fontId="2" type="noConversion"/>
  </si>
  <si>
    <t>%</t>
    <phoneticPr fontId="2" type="noConversion"/>
  </si>
  <si>
    <t>비고</t>
    <phoneticPr fontId="2" type="noConversion"/>
  </si>
  <si>
    <t>부동산 매입가</t>
    <phoneticPr fontId="7" type="noConversion"/>
  </si>
  <si>
    <t>보증금</t>
    <phoneticPr fontId="7" type="noConversion"/>
  </si>
  <si>
    <t>취득부대비용 등</t>
    <phoneticPr fontId="7" type="noConversion"/>
  </si>
  <si>
    <t>취득비용, 중개수수료, 실사비용, Financing Fee 등</t>
    <phoneticPr fontId="2" type="noConversion"/>
  </si>
  <si>
    <t>선순위 담보대출</t>
    <phoneticPr fontId="7" type="noConversion"/>
  </si>
  <si>
    <t>예비비</t>
    <phoneticPr fontId="7" type="noConversion"/>
  </si>
  <si>
    <t>초기배당재원, 리모델링 비용, CapEx 등</t>
    <phoneticPr fontId="2" type="noConversion"/>
  </si>
  <si>
    <t>1종 수익증권</t>
    <phoneticPr fontId="7" type="noConversion"/>
  </si>
  <si>
    <t>Total</t>
    <phoneticPr fontId="7" type="noConversion"/>
  </si>
  <si>
    <t>Dividend Yield(천원/평)</t>
    <phoneticPr fontId="2" type="noConversion"/>
  </si>
  <si>
    <t xml:space="preserve">1종 수익증권 </t>
    <phoneticPr fontId="2" type="noConversion"/>
  </si>
  <si>
    <t>규모</t>
    <phoneticPr fontId="2" type="noConversion"/>
  </si>
  <si>
    <t>목표 배당률</t>
    <phoneticPr fontId="2" type="noConversion"/>
  </si>
  <si>
    <t>목표 배당금액</t>
    <phoneticPr fontId="2" type="noConversion"/>
  </si>
  <si>
    <t>1기 배당 현금지금액</t>
    <phoneticPr fontId="2" type="noConversion"/>
  </si>
  <si>
    <t>2기 배당 현금지급액</t>
    <phoneticPr fontId="2" type="noConversion"/>
  </si>
  <si>
    <r>
      <t>3기 배당 현금지급액</t>
    </r>
    <r>
      <rPr>
        <sz val="11"/>
        <color theme="1"/>
        <rFont val="Arial Unicode MS"/>
        <family val="2"/>
        <charset val="129"/>
      </rPr>
      <t/>
    </r>
  </si>
  <si>
    <t>4기 배당 현금지급액</t>
    <phoneticPr fontId="2" type="noConversion"/>
  </si>
  <si>
    <r>
      <t>5기 배당 현금지급액</t>
    </r>
    <r>
      <rPr>
        <sz val="11"/>
        <color theme="1"/>
        <rFont val="Arial Unicode MS"/>
        <family val="2"/>
        <charset val="129"/>
      </rPr>
      <t/>
    </r>
  </si>
  <si>
    <t>당기순이익</t>
    <phoneticPr fontId="2" type="noConversion"/>
  </si>
  <si>
    <t>초기배당재원지급액</t>
    <phoneticPr fontId="2" type="noConversion"/>
  </si>
  <si>
    <t>추가배당액</t>
    <phoneticPr fontId="2" type="noConversion"/>
  </si>
  <si>
    <t>배당수익률(연간)</t>
    <phoneticPr fontId="7" type="noConversion"/>
  </si>
  <si>
    <t>Sensitivity Analysis(천원/평)</t>
    <phoneticPr fontId="2" type="noConversion"/>
  </si>
  <si>
    <t>&lt;임대료-Exit Cap.&gt; - IRR</t>
    <phoneticPr fontId="2" type="noConversion"/>
  </si>
  <si>
    <t>(단위:천원)</t>
    <phoneticPr fontId="2" type="noConversion"/>
  </si>
  <si>
    <t>Exit Cap.</t>
    <phoneticPr fontId="2" type="noConversion"/>
  </si>
  <si>
    <t>임대료</t>
    <phoneticPr fontId="2" type="noConversion"/>
  </si>
  <si>
    <t>&lt;공실률-Exit Cap.&gt; - IRR</t>
    <phoneticPr fontId="2" type="noConversion"/>
  </si>
  <si>
    <t>공실률</t>
    <phoneticPr fontId="2" type="noConversion"/>
  </si>
  <si>
    <t>&lt;공실률&gt; - 연평균 배당수익률</t>
    <phoneticPr fontId="2" type="noConversion"/>
  </si>
  <si>
    <t>배당수익률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</si>
</sst>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0.0%"/>
    <numFmt numFmtId="177" formatCode="General&quot;.&quot;"/>
    <numFmt numFmtId="178" formatCode="_-* #,##0.000_-;\-* #,##0.000_-;_-* &quot;-&quot;??_-;_-@_-"/>
    <numFmt numFmtId="179" formatCode="#,##0_ ;[Red]\-#,##0\ "/>
    <numFmt numFmtId="180" formatCode="&quot;IRR &quot;0.0%"/>
    <numFmt numFmtId="181" formatCode="&quot;₩&quot;#,##0_);[Red]\(&quot;₩&quot;#,##0\)"/>
    <numFmt numFmtId="182" formatCode="&quot;연평균 배당수익률&quot;\ 0.00%"/>
    <numFmt numFmtId="183" formatCode="&quot;IRR &quot;0.00%"/>
    <numFmt numFmtId="184" formatCode="&quot;평단가(평)&quot;_-* #,##0_-;\-* #,##0_-;_-* &quot;-&quot;_-;_-@_-"/>
    <numFmt numFmtId="185" formatCode="&quot;Initial cap&quot;\ 0.00%"/>
    <numFmt numFmtId="186" formatCode="&quot;Terminal cap&quot;_0.00%"/>
    <numFmt numFmtId="187" formatCode="&quot;Total&quot;\ #,##0;[Red]\-#,##0"/>
    <numFmt numFmtId="188" formatCode="#,##0_);[Red]\(#,##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Arial Unicode MS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40404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8" tint="-0.24997711111789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7" tint="0.79998168889431442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name val="맑은 고딕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FFFF00"/>
        <bgColor rgb="FFCCCCCC"/>
      </patternFill>
    </fill>
    <fill>
      <patternFill patternType="solid">
        <fgColor theme="2"/>
        <bgColor rgb="FFCCCCCC"/>
      </patternFill>
    </fill>
    <fill>
      <patternFill patternType="solid">
        <fgColor rgb="FFFFF2CC"/>
        <bgColor rgb="FF000000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/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theme="1"/>
      </bottom>
      <diagonal/>
    </border>
    <border>
      <left style="thick">
        <color rgb="FFC00000"/>
      </left>
      <right style="thin">
        <color indexed="64"/>
      </right>
      <top/>
      <bottom/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C00000"/>
      </left>
      <right style="thin">
        <color theme="1"/>
      </right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thin">
        <color theme="1"/>
      </right>
      <top/>
      <bottom/>
      <diagonal/>
    </border>
    <border>
      <left/>
      <right style="medium">
        <color rgb="FFC00000"/>
      </right>
      <top/>
      <bottom/>
      <diagonal/>
    </border>
    <border>
      <left style="thin">
        <color theme="1"/>
      </left>
      <right style="medium">
        <color rgb="FFC00000"/>
      </right>
      <top/>
      <bottom/>
      <diagonal/>
    </border>
    <border>
      <left style="medium">
        <color rgb="FFC00000"/>
      </left>
      <right style="thin">
        <color theme="1"/>
      </right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ck">
        <color rgb="FFFF0000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rgb="FF000000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8" fillId="4" borderId="0" xfId="0" applyFont="1" applyFill="1">
      <alignment vertical="center"/>
    </xf>
    <xf numFmtId="0" fontId="9" fillId="4" borderId="0" xfId="0" applyFont="1" applyFill="1">
      <alignment vertical="center"/>
    </xf>
    <xf numFmtId="0" fontId="8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1" fillId="8" borderId="0" xfId="0" applyFont="1" applyFill="1">
      <alignment vertical="center"/>
    </xf>
    <xf numFmtId="0" fontId="8" fillId="8" borderId="16" xfId="0" applyFont="1" applyFill="1" applyBorder="1">
      <alignment vertical="center"/>
    </xf>
    <xf numFmtId="177" fontId="9" fillId="4" borderId="15" xfId="0" applyNumberFormat="1" applyFont="1" applyFill="1" applyBorder="1">
      <alignment vertical="center"/>
    </xf>
    <xf numFmtId="0" fontId="9" fillId="4" borderId="15" xfId="0" applyFont="1" applyFill="1" applyBorder="1">
      <alignment vertical="center"/>
    </xf>
    <xf numFmtId="0" fontId="12" fillId="4" borderId="15" xfId="0" applyFont="1" applyFill="1" applyBorder="1">
      <alignment vertical="center"/>
    </xf>
    <xf numFmtId="0" fontId="8" fillId="4" borderId="15" xfId="0" applyFont="1" applyFill="1" applyBorder="1">
      <alignment vertical="center"/>
    </xf>
    <xf numFmtId="0" fontId="9" fillId="4" borderId="25" xfId="0" applyFont="1" applyFill="1" applyBorder="1">
      <alignment vertical="center"/>
    </xf>
    <xf numFmtId="0" fontId="9" fillId="5" borderId="26" xfId="0" applyFont="1" applyFill="1" applyBorder="1">
      <alignment vertical="center"/>
    </xf>
    <xf numFmtId="0" fontId="9" fillId="5" borderId="24" xfId="0" applyFont="1" applyFill="1" applyBorder="1">
      <alignment vertical="center"/>
    </xf>
    <xf numFmtId="0" fontId="8" fillId="4" borderId="19" xfId="0" applyFont="1" applyFill="1" applyBorder="1">
      <alignment vertical="center"/>
    </xf>
    <xf numFmtId="41" fontId="8" fillId="4" borderId="23" xfId="1" applyFont="1" applyFill="1" applyBorder="1">
      <alignment vertical="center"/>
    </xf>
    <xf numFmtId="0" fontId="8" fillId="4" borderId="16" xfId="0" applyFont="1" applyFill="1" applyBorder="1">
      <alignment vertical="center"/>
    </xf>
    <xf numFmtId="41" fontId="8" fillId="6" borderId="0" xfId="1" applyFont="1" applyFill="1" applyBorder="1">
      <alignment vertical="center"/>
    </xf>
    <xf numFmtId="10" fontId="8" fillId="6" borderId="0" xfId="0" applyNumberFormat="1" applyFont="1" applyFill="1">
      <alignment vertical="center"/>
    </xf>
    <xf numFmtId="9" fontId="8" fillId="6" borderId="0" xfId="0" applyNumberFormat="1" applyFont="1" applyFill="1">
      <alignment vertical="center"/>
    </xf>
    <xf numFmtId="9" fontId="8" fillId="4" borderId="0" xfId="0" applyNumberFormat="1" applyFont="1" applyFill="1">
      <alignment vertical="center"/>
    </xf>
    <xf numFmtId="0" fontId="8" fillId="6" borderId="0" xfId="0" applyFont="1" applyFill="1">
      <alignment vertical="center"/>
    </xf>
    <xf numFmtId="0" fontId="8" fillId="4" borderId="5" xfId="0" applyFont="1" applyFill="1" applyBorder="1">
      <alignment vertical="center"/>
    </xf>
    <xf numFmtId="0" fontId="8" fillId="4" borderId="1" xfId="0" applyFont="1" applyFill="1" applyBorder="1">
      <alignment vertical="center"/>
    </xf>
    <xf numFmtId="41" fontId="8" fillId="7" borderId="26" xfId="1" applyFont="1" applyFill="1" applyBorder="1">
      <alignment vertical="center"/>
    </xf>
    <xf numFmtId="41" fontId="8" fillId="7" borderId="24" xfId="1" applyFont="1" applyFill="1" applyBorder="1">
      <alignment vertical="center"/>
    </xf>
    <xf numFmtId="41" fontId="14" fillId="7" borderId="24" xfId="1" applyFont="1" applyFill="1" applyBorder="1" applyAlignment="1">
      <alignment horizontal="center" vertical="center"/>
    </xf>
    <xf numFmtId="41" fontId="14" fillId="7" borderId="29" xfId="1" applyFont="1" applyFill="1" applyBorder="1" applyAlignment="1">
      <alignment horizontal="center" vertical="center"/>
    </xf>
    <xf numFmtId="41" fontId="8" fillId="4" borderId="16" xfId="1" applyFont="1" applyFill="1" applyBorder="1">
      <alignment vertical="center"/>
    </xf>
    <xf numFmtId="41" fontId="8" fillId="4" borderId="0" xfId="1" applyFont="1" applyFill="1">
      <alignment vertical="center"/>
    </xf>
    <xf numFmtId="41" fontId="8" fillId="6" borderId="0" xfId="1" applyFont="1" applyFill="1">
      <alignment vertical="center"/>
    </xf>
    <xf numFmtId="178" fontId="8" fillId="4" borderId="0" xfId="0" applyNumberFormat="1" applyFont="1" applyFill="1">
      <alignment vertical="center"/>
    </xf>
    <xf numFmtId="10" fontId="8" fillId="6" borderId="0" xfId="1" applyNumberFormat="1" applyFont="1" applyFill="1">
      <alignment vertical="center"/>
    </xf>
    <xf numFmtId="41" fontId="15" fillId="4" borderId="0" xfId="1" applyFont="1" applyFill="1">
      <alignment vertical="center"/>
    </xf>
    <xf numFmtId="41" fontId="8" fillId="4" borderId="3" xfId="1" applyFont="1" applyFill="1" applyBorder="1">
      <alignment vertical="center"/>
    </xf>
    <xf numFmtId="41" fontId="8" fillId="4" borderId="0" xfId="1" applyFont="1" applyFill="1" applyBorder="1">
      <alignment vertical="center"/>
    </xf>
    <xf numFmtId="9" fontId="8" fillId="4" borderId="0" xfId="1" applyNumberFormat="1" applyFont="1" applyFill="1">
      <alignment vertical="center"/>
    </xf>
    <xf numFmtId="41" fontId="9" fillId="4" borderId="0" xfId="1" applyFont="1" applyFill="1" applyBorder="1">
      <alignment vertical="center"/>
    </xf>
    <xf numFmtId="10" fontId="8" fillId="6" borderId="28" xfId="1" applyNumberFormat="1" applyFont="1" applyFill="1" applyBorder="1">
      <alignment vertical="center"/>
    </xf>
    <xf numFmtId="41" fontId="8" fillId="4" borderId="55" xfId="1" applyFont="1" applyFill="1" applyBorder="1">
      <alignment vertical="center"/>
    </xf>
    <xf numFmtId="9" fontId="8" fillId="6" borderId="56" xfId="1" applyNumberFormat="1" applyFont="1" applyFill="1" applyBorder="1">
      <alignment vertical="center"/>
    </xf>
    <xf numFmtId="0" fontId="8" fillId="4" borderId="0" xfId="0" applyFont="1" applyFill="1" applyAlignment="1">
      <alignment horizontal="right" vertical="center"/>
    </xf>
    <xf numFmtId="41" fontId="8" fillId="4" borderId="0" xfId="1" applyFont="1" applyFill="1" applyBorder="1" applyAlignment="1">
      <alignment horizontal="left" vertical="center"/>
    </xf>
    <xf numFmtId="41" fontId="8" fillId="4" borderId="57" xfId="1" applyFont="1" applyFill="1" applyBorder="1">
      <alignment vertical="center"/>
    </xf>
    <xf numFmtId="10" fontId="8" fillId="6" borderId="58" xfId="1" applyNumberFormat="1" applyFont="1" applyFill="1" applyBorder="1">
      <alignment vertical="center"/>
    </xf>
    <xf numFmtId="41" fontId="16" fillId="4" borderId="0" xfId="1" applyFont="1" applyFill="1" applyBorder="1">
      <alignment vertical="center"/>
    </xf>
    <xf numFmtId="9" fontId="8" fillId="6" borderId="59" xfId="1" applyNumberFormat="1" applyFont="1" applyFill="1" applyBorder="1">
      <alignment vertical="center"/>
    </xf>
    <xf numFmtId="41" fontId="15" fillId="4" borderId="0" xfId="1" applyFont="1" applyFill="1" applyBorder="1">
      <alignment vertical="center"/>
    </xf>
    <xf numFmtId="43" fontId="8" fillId="4" borderId="0" xfId="0" applyNumberFormat="1" applyFont="1" applyFill="1">
      <alignment vertical="center"/>
    </xf>
    <xf numFmtId="41" fontId="8" fillId="4" borderId="60" xfId="1" applyFont="1" applyFill="1" applyBorder="1">
      <alignment vertical="center"/>
    </xf>
    <xf numFmtId="10" fontId="8" fillId="6" borderId="61" xfId="1" applyNumberFormat="1" applyFont="1" applyFill="1" applyBorder="1">
      <alignment vertical="center"/>
    </xf>
    <xf numFmtId="41" fontId="8" fillId="4" borderId="22" xfId="1" applyFont="1" applyFill="1" applyBorder="1">
      <alignment vertical="center"/>
    </xf>
    <xf numFmtId="10" fontId="8" fillId="6" borderId="27" xfId="1" applyNumberFormat="1" applyFont="1" applyFill="1" applyBorder="1">
      <alignment vertical="center"/>
    </xf>
    <xf numFmtId="41" fontId="15" fillId="4" borderId="25" xfId="1" applyFont="1" applyFill="1" applyBorder="1">
      <alignment vertical="center"/>
    </xf>
    <xf numFmtId="41" fontId="8" fillId="4" borderId="25" xfId="1" applyFont="1" applyFill="1" applyBorder="1">
      <alignment vertical="center"/>
    </xf>
    <xf numFmtId="41" fontId="8" fillId="4" borderId="30" xfId="1" applyFont="1" applyFill="1" applyBorder="1">
      <alignment vertical="center"/>
    </xf>
    <xf numFmtId="41" fontId="9" fillId="4" borderId="0" xfId="1" applyFont="1" applyFill="1" applyBorder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5" borderId="31" xfId="0" applyFont="1" applyFill="1" applyBorder="1" applyAlignment="1">
      <alignment horizontal="right" vertical="center"/>
    </xf>
    <xf numFmtId="0" fontId="8" fillId="5" borderId="32" xfId="0" applyFont="1" applyFill="1" applyBorder="1">
      <alignment vertical="center"/>
    </xf>
    <xf numFmtId="0" fontId="8" fillId="5" borderId="33" xfId="0" applyFont="1" applyFill="1" applyBorder="1">
      <alignment vertical="center"/>
    </xf>
    <xf numFmtId="0" fontId="8" fillId="4" borderId="34" xfId="0" applyFont="1" applyFill="1" applyBorder="1">
      <alignment vertical="center"/>
    </xf>
    <xf numFmtId="41" fontId="8" fillId="4" borderId="35" xfId="1" applyFont="1" applyFill="1" applyBorder="1">
      <alignment vertical="center"/>
    </xf>
    <xf numFmtId="0" fontId="9" fillId="5" borderId="34" xfId="0" applyFont="1" applyFill="1" applyBorder="1" applyAlignment="1">
      <alignment horizontal="right" vertical="center"/>
    </xf>
    <xf numFmtId="0" fontId="8" fillId="5" borderId="0" xfId="0" applyFont="1" applyFill="1">
      <alignment vertical="center"/>
    </xf>
    <xf numFmtId="41" fontId="8" fillId="5" borderId="0" xfId="1" applyFont="1" applyFill="1" applyBorder="1">
      <alignment vertical="center"/>
    </xf>
    <xf numFmtId="41" fontId="9" fillId="5" borderId="0" xfId="1" applyFont="1" applyFill="1" applyBorder="1">
      <alignment vertical="center"/>
    </xf>
    <xf numFmtId="41" fontId="9" fillId="5" borderId="35" xfId="1" applyFont="1" applyFill="1" applyBorder="1">
      <alignment vertical="center"/>
    </xf>
    <xf numFmtId="0" fontId="8" fillId="4" borderId="36" xfId="0" applyFont="1" applyFill="1" applyBorder="1">
      <alignment vertical="center"/>
    </xf>
    <xf numFmtId="0" fontId="8" fillId="4" borderId="37" xfId="0" applyFont="1" applyFill="1" applyBorder="1">
      <alignment vertical="center"/>
    </xf>
    <xf numFmtId="41" fontId="8" fillId="4" borderId="37" xfId="1" applyFont="1" applyFill="1" applyBorder="1">
      <alignment vertical="center"/>
    </xf>
    <xf numFmtId="0" fontId="9" fillId="5" borderId="2" xfId="0" applyFont="1" applyFill="1" applyBorder="1" applyAlignment="1">
      <alignment horizontal="right" vertical="center"/>
    </xf>
    <xf numFmtId="41" fontId="9" fillId="5" borderId="3" xfId="1" applyFont="1" applyFill="1" applyBorder="1">
      <alignment vertical="center"/>
    </xf>
    <xf numFmtId="0" fontId="8" fillId="4" borderId="2" xfId="0" applyFont="1" applyFill="1" applyBorder="1" applyAlignment="1">
      <alignment horizontal="right" vertical="center"/>
    </xf>
    <xf numFmtId="38" fontId="8" fillId="4" borderId="0" xfId="1" applyNumberFormat="1" applyFont="1" applyFill="1" applyBorder="1">
      <alignment vertical="center"/>
    </xf>
    <xf numFmtId="38" fontId="8" fillId="4" borderId="3" xfId="1" applyNumberFormat="1" applyFont="1" applyFill="1" applyBorder="1">
      <alignment vertical="center"/>
    </xf>
    <xf numFmtId="179" fontId="8" fillId="4" borderId="0" xfId="1" applyNumberFormat="1" applyFont="1" applyFill="1" applyBorder="1">
      <alignment vertical="center"/>
    </xf>
    <xf numFmtId="179" fontId="8" fillId="4" borderId="3" xfId="1" applyNumberFormat="1" applyFont="1" applyFill="1" applyBorder="1">
      <alignment vertical="center"/>
    </xf>
    <xf numFmtId="0" fontId="8" fillId="0" borderId="0" xfId="0" applyFont="1">
      <alignment vertical="center"/>
    </xf>
    <xf numFmtId="0" fontId="8" fillId="4" borderId="2" xfId="0" applyFont="1" applyFill="1" applyBorder="1">
      <alignment vertical="center"/>
    </xf>
    <xf numFmtId="180" fontId="9" fillId="5" borderId="0" xfId="0" applyNumberFormat="1" applyFont="1" applyFill="1" applyAlignment="1">
      <alignment horizontal="center"/>
    </xf>
    <xf numFmtId="179" fontId="9" fillId="5" borderId="0" xfId="1" applyNumberFormat="1" applyFont="1" applyFill="1" applyBorder="1">
      <alignment vertical="center"/>
    </xf>
    <xf numFmtId="179" fontId="9" fillId="5" borderId="3" xfId="1" applyNumberFormat="1" applyFont="1" applyFill="1" applyBorder="1">
      <alignment vertical="center"/>
    </xf>
    <xf numFmtId="179" fontId="8" fillId="4" borderId="37" xfId="1" applyNumberFormat="1" applyFont="1" applyFill="1" applyBorder="1">
      <alignment vertical="center"/>
    </xf>
    <xf numFmtId="179" fontId="8" fillId="4" borderId="53" xfId="1" applyNumberFormat="1" applyFont="1" applyFill="1" applyBorder="1">
      <alignment vertical="center"/>
    </xf>
    <xf numFmtId="179" fontId="8" fillId="4" borderId="52" xfId="1" applyNumberFormat="1" applyFont="1" applyFill="1" applyBorder="1">
      <alignment vertical="center"/>
    </xf>
    <xf numFmtId="179" fontId="8" fillId="4" borderId="51" xfId="1" applyNumberFormat="1" applyFont="1" applyFill="1" applyBorder="1">
      <alignment vertical="center"/>
    </xf>
    <xf numFmtId="0" fontId="9" fillId="5" borderId="4" xfId="0" applyFont="1" applyFill="1" applyBorder="1" applyAlignment="1">
      <alignment horizontal="right" vertical="center"/>
    </xf>
    <xf numFmtId="0" fontId="8" fillId="5" borderId="6" xfId="0" applyFont="1" applyFill="1" applyBorder="1">
      <alignment vertical="center"/>
    </xf>
    <xf numFmtId="183" fontId="9" fillId="2" borderId="13" xfId="0" applyNumberFormat="1" applyFont="1" applyFill="1" applyBorder="1" applyAlignment="1">
      <alignment horizontal="center" vertical="center"/>
    </xf>
    <xf numFmtId="179" fontId="9" fillId="5" borderId="6" xfId="1" applyNumberFormat="1" applyFont="1" applyFill="1" applyBorder="1">
      <alignment vertical="center"/>
    </xf>
    <xf numFmtId="0" fontId="8" fillId="4" borderId="54" xfId="0" applyFont="1" applyFill="1" applyBorder="1">
      <alignment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7" fillId="4" borderId="3" xfId="0" applyFont="1" applyFill="1" applyBorder="1" applyAlignment="1">
      <alignment horizontal="left" vertical="center"/>
    </xf>
    <xf numFmtId="188" fontId="8" fillId="4" borderId="3" xfId="0" applyNumberFormat="1" applyFont="1" applyFill="1" applyBorder="1">
      <alignment vertical="center"/>
    </xf>
    <xf numFmtId="10" fontId="8" fillId="4" borderId="11" xfId="2" applyNumberFormat="1" applyFont="1" applyFill="1" applyBorder="1" applyAlignment="1">
      <alignment horizontal="right" vertical="center"/>
    </xf>
    <xf numFmtId="184" fontId="8" fillId="4" borderId="3" xfId="0" applyNumberFormat="1" applyFont="1" applyFill="1" applyBorder="1" applyAlignment="1">
      <alignment horizontal="left" vertical="center"/>
    </xf>
    <xf numFmtId="0" fontId="17" fillId="4" borderId="11" xfId="0" applyFont="1" applyFill="1" applyBorder="1" applyAlignment="1">
      <alignment horizontal="left" vertical="center"/>
    </xf>
    <xf numFmtId="188" fontId="8" fillId="4" borderId="11" xfId="0" applyNumberFormat="1" applyFont="1" applyFill="1" applyBorder="1">
      <alignment vertical="center"/>
    </xf>
    <xf numFmtId="0" fontId="8" fillId="4" borderId="0" xfId="0" applyFont="1" applyFill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188" fontId="8" fillId="4" borderId="5" xfId="0" applyNumberFormat="1" applyFont="1" applyFill="1" applyBorder="1">
      <alignment vertical="center"/>
    </xf>
    <xf numFmtId="10" fontId="8" fillId="4" borderId="14" xfId="2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left" vertical="center"/>
    </xf>
    <xf numFmtId="0" fontId="17" fillId="4" borderId="14" xfId="0" applyFont="1" applyFill="1" applyBorder="1" applyAlignment="1">
      <alignment horizontal="left" vertical="center"/>
    </xf>
    <xf numFmtId="188" fontId="8" fillId="4" borderId="14" xfId="0" applyNumberFormat="1" applyFont="1" applyFill="1" applyBorder="1">
      <alignment vertical="center"/>
    </xf>
    <xf numFmtId="0" fontId="8" fillId="4" borderId="6" xfId="0" applyFont="1" applyFill="1" applyBorder="1" applyAlignment="1">
      <alignment horizontal="left" vertical="center"/>
    </xf>
    <xf numFmtId="9" fontId="8" fillId="4" borderId="11" xfId="0" applyNumberFormat="1" applyFont="1" applyFill="1" applyBorder="1" applyAlignment="1">
      <alignment horizontal="right" vertical="center"/>
    </xf>
    <xf numFmtId="185" fontId="8" fillId="4" borderId="3" xfId="0" applyNumberFormat="1" applyFont="1" applyFill="1" applyBorder="1" applyAlignment="1">
      <alignment horizontal="left" vertical="center"/>
    </xf>
    <xf numFmtId="9" fontId="8" fillId="4" borderId="11" xfId="2" applyFont="1" applyFill="1" applyBorder="1" applyAlignment="1">
      <alignment horizontal="right" vertical="center"/>
    </xf>
    <xf numFmtId="186" fontId="8" fillId="4" borderId="0" xfId="0" applyNumberFormat="1" applyFont="1" applyFill="1" applyAlignment="1">
      <alignment horizontal="left" vertical="center"/>
    </xf>
    <xf numFmtId="177" fontId="9" fillId="4" borderId="0" xfId="0" applyNumberFormat="1" applyFont="1" applyFill="1">
      <alignment vertical="center"/>
    </xf>
    <xf numFmtId="38" fontId="8" fillId="4" borderId="0" xfId="0" applyNumberFormat="1" applyFont="1" applyFill="1">
      <alignment vertical="center"/>
    </xf>
    <xf numFmtId="188" fontId="8" fillId="6" borderId="0" xfId="0" applyNumberFormat="1" applyFont="1" applyFill="1">
      <alignment vertical="center"/>
    </xf>
    <xf numFmtId="176" fontId="8" fillId="6" borderId="0" xfId="0" applyNumberFormat="1" applyFont="1" applyFill="1">
      <alignment vertical="center"/>
    </xf>
    <xf numFmtId="0" fontId="8" fillId="5" borderId="9" xfId="0" applyFont="1" applyFill="1" applyBorder="1">
      <alignment vertical="center"/>
    </xf>
    <xf numFmtId="0" fontId="13" fillId="5" borderId="9" xfId="0" applyFont="1" applyFill="1" applyBorder="1" applyAlignment="1">
      <alignment horizontal="center" vertical="center"/>
    </xf>
    <xf numFmtId="0" fontId="8" fillId="5" borderId="64" xfId="0" applyFont="1" applyFill="1" applyBorder="1">
      <alignment vertical="center"/>
    </xf>
    <xf numFmtId="0" fontId="8" fillId="5" borderId="3" xfId="0" applyFont="1" applyFill="1" applyBorder="1">
      <alignment vertical="center"/>
    </xf>
    <xf numFmtId="38" fontId="8" fillId="2" borderId="0" xfId="0" applyNumberFormat="1" applyFont="1" applyFill="1">
      <alignment vertical="center"/>
    </xf>
    <xf numFmtId="187" fontId="9" fillId="2" borderId="13" xfId="0" applyNumberFormat="1" applyFont="1" applyFill="1" applyBorder="1" applyAlignment="1">
      <alignment horizontal="center" vertical="center"/>
    </xf>
    <xf numFmtId="181" fontId="8" fillId="11" borderId="67" xfId="0" applyNumberFormat="1" applyFont="1" applyFill="1" applyBorder="1" applyAlignment="1"/>
    <xf numFmtId="10" fontId="8" fillId="11" borderId="68" xfId="2" applyNumberFormat="1" applyFont="1" applyFill="1" applyBorder="1" applyAlignment="1"/>
    <xf numFmtId="10" fontId="8" fillId="11" borderId="68" xfId="0" applyNumberFormat="1" applyFont="1" applyFill="1" applyBorder="1" applyAlignment="1"/>
    <xf numFmtId="10" fontId="8" fillId="11" borderId="66" xfId="0" applyNumberFormat="1" applyFont="1" applyFill="1" applyBorder="1" applyAlignment="1"/>
    <xf numFmtId="182" fontId="9" fillId="10" borderId="13" xfId="0" applyNumberFormat="1" applyFont="1" applyFill="1" applyBorder="1" applyAlignment="1">
      <alignment horizontal="center" vertical="center"/>
    </xf>
    <xf numFmtId="176" fontId="18" fillId="6" borderId="38" xfId="0" applyNumberFormat="1" applyFont="1" applyFill="1" applyBorder="1" applyAlignment="1">
      <alignment horizontal="right" vertical="center"/>
    </xf>
    <xf numFmtId="43" fontId="8" fillId="6" borderId="38" xfId="0" applyNumberFormat="1" applyFont="1" applyFill="1" applyBorder="1" applyAlignment="1">
      <alignment horizontal="right" vertical="center"/>
    </xf>
    <xf numFmtId="178" fontId="8" fillId="6" borderId="18" xfId="0" applyNumberFormat="1" applyFont="1" applyFill="1" applyBorder="1" applyAlignment="1">
      <alignment horizontal="right" vertical="center"/>
    </xf>
    <xf numFmtId="43" fontId="8" fillId="6" borderId="17" xfId="0" applyNumberFormat="1" applyFont="1" applyFill="1" applyBorder="1" applyAlignment="1">
      <alignment horizontal="right" vertical="center"/>
    </xf>
    <xf numFmtId="43" fontId="8" fillId="6" borderId="26" xfId="0" applyNumberFormat="1" applyFont="1" applyFill="1" applyBorder="1" applyAlignment="1">
      <alignment horizontal="right" vertical="center"/>
    </xf>
    <xf numFmtId="10" fontId="8" fillId="6" borderId="39" xfId="0" applyNumberFormat="1" applyFont="1" applyFill="1" applyBorder="1" applyAlignment="1">
      <alignment horizontal="right" vertical="center"/>
    </xf>
    <xf numFmtId="10" fontId="8" fillId="4" borderId="40" xfId="2" applyNumberFormat="1" applyFont="1" applyFill="1" applyBorder="1" applyAlignment="1">
      <alignment horizontal="right" vertical="center"/>
    </xf>
    <xf numFmtId="10" fontId="8" fillId="4" borderId="39" xfId="2" applyNumberFormat="1" applyFont="1" applyFill="1" applyBorder="1" applyAlignment="1">
      <alignment horizontal="right" vertical="center"/>
    </xf>
    <xf numFmtId="10" fontId="8" fillId="0" borderId="18" xfId="2" applyNumberFormat="1" applyFont="1" applyFill="1" applyBorder="1" applyAlignment="1">
      <alignment horizontal="right" vertical="center"/>
    </xf>
    <xf numFmtId="10" fontId="8" fillId="4" borderId="43" xfId="2" applyNumberFormat="1" applyFont="1" applyFill="1" applyBorder="1" applyAlignment="1">
      <alignment horizontal="right" vertical="center"/>
    </xf>
    <xf numFmtId="10" fontId="8" fillId="6" borderId="41" xfId="2" applyNumberFormat="1" applyFont="1" applyFill="1" applyBorder="1" applyAlignment="1">
      <alignment horizontal="right" vertical="center"/>
    </xf>
    <xf numFmtId="10" fontId="8" fillId="4" borderId="41" xfId="2" applyNumberFormat="1" applyFont="1" applyFill="1" applyBorder="1" applyAlignment="1">
      <alignment horizontal="right" vertical="center"/>
    </xf>
    <xf numFmtId="10" fontId="8" fillId="4" borderId="44" xfId="2" applyNumberFormat="1" applyFont="1" applyFill="1" applyBorder="1" applyAlignment="1">
      <alignment horizontal="right" vertical="center"/>
    </xf>
    <xf numFmtId="10" fontId="8" fillId="6" borderId="20" xfId="2" applyNumberFormat="1" applyFont="1" applyFill="1" applyBorder="1" applyAlignment="1">
      <alignment horizontal="right" vertical="center"/>
    </xf>
    <xf numFmtId="10" fontId="8" fillId="6" borderId="45" xfId="2" applyNumberFormat="1" applyFont="1" applyFill="1" applyBorder="1" applyAlignment="1">
      <alignment horizontal="right" vertical="center"/>
    </xf>
    <xf numFmtId="10" fontId="18" fillId="9" borderId="12" xfId="0" applyNumberFormat="1" applyFont="1" applyFill="1" applyBorder="1" applyAlignment="1">
      <alignment horizontal="right" vertical="center"/>
    </xf>
    <xf numFmtId="10" fontId="17" fillId="6" borderId="12" xfId="0" applyNumberFormat="1" applyFont="1" applyFill="1" applyBorder="1" applyAlignment="1">
      <alignment horizontal="right" vertical="center" wrapText="1"/>
    </xf>
    <xf numFmtId="10" fontId="17" fillId="0" borderId="7" xfId="0" applyNumberFormat="1" applyFont="1" applyBorder="1" applyAlignment="1">
      <alignment horizontal="right" vertical="center" wrapText="1"/>
    </xf>
    <xf numFmtId="10" fontId="17" fillId="0" borderId="49" xfId="0" applyNumberFormat="1" applyFont="1" applyBorder="1" applyAlignment="1">
      <alignment horizontal="right" vertical="center" wrapText="1"/>
    </xf>
    <xf numFmtId="10" fontId="17" fillId="0" borderId="47" xfId="0" applyNumberFormat="1" applyFont="1" applyBorder="1" applyAlignment="1">
      <alignment horizontal="right" vertical="center" wrapText="1"/>
    </xf>
    <xf numFmtId="10" fontId="17" fillId="0" borderId="48" xfId="0" applyNumberFormat="1" applyFont="1" applyBorder="1" applyAlignment="1">
      <alignment horizontal="right" vertical="center" wrapText="1"/>
    </xf>
    <xf numFmtId="10" fontId="17" fillId="0" borderId="11" xfId="0" applyNumberFormat="1" applyFont="1" applyBorder="1" applyAlignment="1">
      <alignment horizontal="right" vertical="center" wrapText="1"/>
    </xf>
    <xf numFmtId="10" fontId="8" fillId="6" borderId="12" xfId="0" applyNumberFormat="1" applyFont="1" applyFill="1" applyBorder="1" applyAlignment="1">
      <alignment horizontal="right" vertical="center"/>
    </xf>
    <xf numFmtId="10" fontId="17" fillId="0" borderId="62" xfId="0" applyNumberFormat="1" applyFont="1" applyBorder="1" applyAlignment="1">
      <alignment horizontal="right" vertical="center" wrapText="1"/>
    </xf>
    <xf numFmtId="10" fontId="18" fillId="6" borderId="12" xfId="0" applyNumberFormat="1" applyFont="1" applyFill="1" applyBorder="1">
      <alignment vertical="center"/>
    </xf>
    <xf numFmtId="10" fontId="8" fillId="4" borderId="12" xfId="0" applyNumberFormat="1" applyFont="1" applyFill="1" applyBorder="1">
      <alignment vertical="center"/>
    </xf>
    <xf numFmtId="188" fontId="8" fillId="4" borderId="0" xfId="0" applyNumberFormat="1" applyFont="1" applyFill="1">
      <alignment vertical="center"/>
    </xf>
    <xf numFmtId="10" fontId="8" fillId="4" borderId="41" xfId="0" applyNumberFormat="1" applyFont="1" applyFill="1" applyBorder="1">
      <alignment vertical="center"/>
    </xf>
    <xf numFmtId="10" fontId="17" fillId="4" borderId="63" xfId="0" applyNumberFormat="1" applyFont="1" applyFill="1" applyBorder="1" applyAlignment="1">
      <alignment horizontal="right" vertical="center" wrapText="1"/>
    </xf>
    <xf numFmtId="10" fontId="17" fillId="4" borderId="47" xfId="0" applyNumberFormat="1" applyFont="1" applyFill="1" applyBorder="1" applyAlignment="1">
      <alignment horizontal="right" vertical="center" wrapText="1"/>
    </xf>
    <xf numFmtId="10" fontId="17" fillId="4" borderId="48" xfId="0" applyNumberFormat="1" applyFont="1" applyFill="1" applyBorder="1" applyAlignment="1">
      <alignment horizontal="right" vertical="center" wrapText="1"/>
    </xf>
    <xf numFmtId="10" fontId="17" fillId="4" borderId="11" xfId="0" applyNumberFormat="1" applyFont="1" applyFill="1" applyBorder="1" applyAlignment="1">
      <alignment horizontal="right" vertical="center" wrapText="1"/>
    </xf>
    <xf numFmtId="10" fontId="17" fillId="4" borderId="50" xfId="0" applyNumberFormat="1" applyFont="1" applyFill="1" applyBorder="1" applyAlignment="1">
      <alignment horizontal="right" vertical="center" wrapText="1"/>
    </xf>
    <xf numFmtId="3" fontId="20" fillId="12" borderId="69" xfId="0" applyNumberFormat="1" applyFont="1" applyFill="1" applyBorder="1">
      <alignment vertical="center"/>
    </xf>
    <xf numFmtId="176" fontId="8" fillId="6" borderId="0" xfId="1" applyNumberFormat="1" applyFont="1" applyFill="1" applyBorder="1">
      <alignment vertical="center"/>
    </xf>
    <xf numFmtId="9" fontId="0" fillId="4" borderId="2" xfId="0" applyNumberFormat="1" applyFill="1" applyBorder="1">
      <alignment vertical="center"/>
    </xf>
    <xf numFmtId="188" fontId="8" fillId="6" borderId="28" xfId="0" applyNumberFormat="1" applyFont="1" applyFill="1" applyBorder="1">
      <alignment vertical="center"/>
    </xf>
    <xf numFmtId="41" fontId="8" fillId="4" borderId="0" xfId="0" applyNumberFormat="1" applyFont="1" applyFill="1">
      <alignment vertical="center"/>
    </xf>
    <xf numFmtId="1" fontId="8" fillId="6" borderId="3" xfId="1" applyNumberFormat="1" applyFont="1" applyFill="1" applyBorder="1">
      <alignment vertical="center"/>
    </xf>
    <xf numFmtId="179" fontId="0" fillId="4" borderId="52" xfId="1" applyNumberFormat="1" applyFont="1" applyFill="1" applyBorder="1">
      <alignment vertical="center"/>
    </xf>
    <xf numFmtId="179" fontId="0" fillId="4" borderId="65" xfId="1" applyNumberFormat="1" applyFont="1" applyFill="1" applyBorder="1">
      <alignment vertical="center"/>
    </xf>
    <xf numFmtId="10" fontId="8" fillId="6" borderId="37" xfId="1" applyNumberFormat="1" applyFont="1" applyFill="1" applyBorder="1">
      <alignment vertical="center"/>
    </xf>
    <xf numFmtId="10" fontId="0" fillId="6" borderId="37" xfId="1" applyNumberFormat="1" applyFont="1" applyFill="1" applyBorder="1">
      <alignment vertical="center"/>
    </xf>
    <xf numFmtId="10" fontId="8" fillId="6" borderId="0" xfId="1" applyNumberFormat="1" applyFont="1" applyFill="1" applyBorder="1">
      <alignment vertical="center"/>
    </xf>
    <xf numFmtId="41" fontId="0" fillId="4" borderId="35" xfId="1" applyFont="1" applyFill="1" applyBorder="1">
      <alignment vertical="center"/>
    </xf>
    <xf numFmtId="41" fontId="0" fillId="4" borderId="0" xfId="1" applyFont="1" applyFill="1">
      <alignment vertical="center"/>
    </xf>
    <xf numFmtId="10" fontId="8" fillId="13" borderId="41" xfId="2" applyNumberFormat="1" applyFont="1" applyFill="1" applyBorder="1" applyAlignment="1">
      <alignment horizontal="right" vertical="center"/>
    </xf>
    <xf numFmtId="10" fontId="8" fillId="13" borderId="44" xfId="2" applyNumberFormat="1" applyFont="1" applyFill="1" applyBorder="1" applyAlignment="1">
      <alignment horizontal="right" vertical="center"/>
    </xf>
    <xf numFmtId="10" fontId="8" fillId="13" borderId="20" xfId="2" applyNumberFormat="1" applyFont="1" applyFill="1" applyBorder="1" applyAlignment="1">
      <alignment horizontal="right" vertical="center"/>
    </xf>
    <xf numFmtId="10" fontId="8" fillId="13" borderId="42" xfId="2" applyNumberFormat="1" applyFont="1" applyFill="1" applyBorder="1" applyAlignment="1">
      <alignment horizontal="right" vertical="center"/>
    </xf>
    <xf numFmtId="10" fontId="8" fillId="13" borderId="21" xfId="2" applyNumberFormat="1" applyFont="1" applyFill="1" applyBorder="1" applyAlignment="1">
      <alignment horizontal="right" vertical="center"/>
    </xf>
    <xf numFmtId="10" fontId="8" fillId="13" borderId="45" xfId="2" applyNumberFormat="1" applyFont="1" applyFill="1" applyBorder="1" applyAlignment="1">
      <alignment horizontal="right" vertical="center"/>
    </xf>
    <xf numFmtId="10" fontId="8" fillId="13" borderId="22" xfId="2" applyNumberFormat="1" applyFont="1" applyFill="1" applyBorder="1" applyAlignment="1">
      <alignment horizontal="right" vertical="center"/>
    </xf>
    <xf numFmtId="10" fontId="17" fillId="13" borderId="48" xfId="0" applyNumberFormat="1" applyFont="1" applyFill="1" applyBorder="1" applyAlignment="1">
      <alignment horizontal="right" vertical="center" wrapText="1"/>
    </xf>
    <xf numFmtId="10" fontId="17" fillId="13" borderId="47" xfId="0" applyNumberFormat="1" applyFont="1" applyFill="1" applyBorder="1" applyAlignment="1">
      <alignment horizontal="right" vertical="center" wrapText="1"/>
    </xf>
    <xf numFmtId="10" fontId="17" fillId="13" borderId="11" xfId="0" applyNumberFormat="1" applyFont="1" applyFill="1" applyBorder="1" applyAlignment="1">
      <alignment horizontal="right" vertical="center" wrapText="1"/>
    </xf>
    <xf numFmtId="10" fontId="17" fillId="13" borderId="50" xfId="0" applyNumberFormat="1" applyFont="1" applyFill="1" applyBorder="1" applyAlignment="1">
      <alignment horizontal="right" vertical="center" wrapText="1"/>
    </xf>
    <xf numFmtId="10" fontId="17" fillId="13" borderId="14" xfId="0" applyNumberFormat="1" applyFont="1" applyFill="1" applyBorder="1" applyAlignment="1">
      <alignment horizontal="right" vertical="center" wrapText="1"/>
    </xf>
    <xf numFmtId="10" fontId="17" fillId="13" borderId="46" xfId="0" applyNumberFormat="1" applyFont="1" applyFill="1" applyBorder="1" applyAlignment="1">
      <alignment horizontal="right" vertical="center" wrapText="1"/>
    </xf>
    <xf numFmtId="41" fontId="8" fillId="4" borderId="0" xfId="1" applyFont="1" applyFill="1" applyBorder="1" applyAlignment="1">
      <alignment horizontal="center" vertical="center"/>
    </xf>
    <xf numFmtId="41" fontId="8" fillId="4" borderId="4" xfId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41" fontId="8" fillId="6" borderId="6" xfId="0" applyNumberFormat="1" applyFont="1" applyFill="1" applyBorder="1">
      <alignment vertical="center"/>
    </xf>
    <xf numFmtId="3" fontId="8" fillId="6" borderId="0" xfId="0" applyNumberFormat="1" applyFont="1" applyFill="1">
      <alignment vertical="center"/>
    </xf>
    <xf numFmtId="3" fontId="0" fillId="6" borderId="0" xfId="0" applyNumberFormat="1" applyFill="1">
      <alignment vertical="center"/>
    </xf>
    <xf numFmtId="3" fontId="8" fillId="6" borderId="6" xfId="0" applyNumberFormat="1" applyFont="1" applyFill="1" applyBorder="1">
      <alignment vertical="center"/>
    </xf>
    <xf numFmtId="3" fontId="8" fillId="4" borderId="0" xfId="0" applyNumberFormat="1" applyFont="1" applyFill="1">
      <alignment vertical="center"/>
    </xf>
    <xf numFmtId="0" fontId="19" fillId="5" borderId="12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쉼표 [0] 2" xfId="3" xr:uid="{D9EA1D49-9E10-4981-B343-197538AEDFF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9CBF-B6C6-4685-B73C-35AE822070A4}">
  <dimension ref="A1:N307"/>
  <sheetViews>
    <sheetView tabSelected="1" topLeftCell="E30" zoomScaleNormal="100" workbookViewId="0">
      <selection activeCell="F40" sqref="F40"/>
    </sheetView>
  </sheetViews>
  <sheetFormatPr defaultColWidth="8.875" defaultRowHeight="17.100000000000001"/>
  <cols>
    <col min="1" max="1" width="3.375" style="78" customWidth="1"/>
    <col min="2" max="2" width="27.375" style="78" customWidth="1"/>
    <col min="3" max="3" width="36.625" style="78" customWidth="1"/>
    <col min="4" max="4" width="29" style="78" bestFit="1" customWidth="1"/>
    <col min="5" max="5" width="50.625" style="78" bestFit="1" customWidth="1"/>
    <col min="6" max="6" width="22.625" style="78" customWidth="1"/>
    <col min="7" max="7" width="22" style="78" bestFit="1" customWidth="1"/>
    <col min="8" max="8" width="33" style="78" bestFit="1" customWidth="1"/>
    <col min="9" max="9" width="37.125" style="78" bestFit="1" customWidth="1"/>
    <col min="10" max="10" width="20.625" style="78" bestFit="1" customWidth="1"/>
    <col min="11" max="14" width="17.625" style="78" customWidth="1"/>
    <col min="15" max="16384" width="8.875" style="78"/>
  </cols>
  <sheetData>
    <row r="1" spans="1:5" s="3" customFormat="1" ht="36" customHeight="1">
      <c r="B1" s="4" t="s">
        <v>0</v>
      </c>
    </row>
    <row r="2" spans="1:5" s="5" customFormat="1">
      <c r="B2" s="6" t="s">
        <v>1</v>
      </c>
    </row>
    <row r="3" spans="1:5" s="10" customFormat="1" ht="17.45" thickBot="1">
      <c r="A3" s="7">
        <v>1</v>
      </c>
      <c r="B3" s="8" t="s">
        <v>2</v>
      </c>
      <c r="C3" s="8" t="s">
        <v>3</v>
      </c>
      <c r="D3" s="9" t="s">
        <v>4</v>
      </c>
      <c r="E3" s="9"/>
    </row>
    <row r="4" spans="1:5" s="1" customFormat="1" ht="17.100000000000001" customHeight="1">
      <c r="B4" s="11"/>
    </row>
    <row r="5" spans="1:5" s="1" customFormat="1" ht="17.100000000000001" customHeight="1">
      <c r="B5" s="12" t="s">
        <v>5</v>
      </c>
      <c r="C5" s="13" t="s">
        <v>6</v>
      </c>
    </row>
    <row r="6" spans="1:5" s="1" customFormat="1" ht="17.100000000000001" customHeight="1">
      <c r="B6" s="14" t="s">
        <v>7</v>
      </c>
      <c r="C6" s="15">
        <v>27000</v>
      </c>
    </row>
    <row r="7" spans="1:5" s="1" customFormat="1" ht="17.100000000000001" customHeight="1">
      <c r="B7" s="16" t="s">
        <v>8</v>
      </c>
      <c r="C7" s="17">
        <f>C6*C9</f>
        <v>301239000</v>
      </c>
      <c r="D7" s="167">
        <f>C7*40%</f>
        <v>120495600</v>
      </c>
      <c r="E7" s="167">
        <f>C7*60%</f>
        <v>180743400</v>
      </c>
    </row>
    <row r="8" spans="1:5" s="1" customFormat="1" ht="17.100000000000001" customHeight="1">
      <c r="B8" s="16" t="s">
        <v>9</v>
      </c>
      <c r="C8" s="164">
        <v>6.0999999999999999E-2</v>
      </c>
    </row>
    <row r="9" spans="1:5" s="1" customFormat="1" ht="17.100000000000001" customHeight="1">
      <c r="B9" s="16" t="s">
        <v>10</v>
      </c>
      <c r="C9" s="163">
        <v>11157</v>
      </c>
      <c r="D9" s="1" t="s">
        <v>11</v>
      </c>
    </row>
    <row r="10" spans="1:5" s="1" customFormat="1" ht="17.100000000000001" customHeight="1">
      <c r="B10" s="16" t="s">
        <v>12</v>
      </c>
      <c r="C10" s="17">
        <f>C9*C11</f>
        <v>8060.9325000000008</v>
      </c>
      <c r="D10" s="1" t="s">
        <v>13</v>
      </c>
    </row>
    <row r="11" spans="1:5" s="1" customFormat="1" ht="17.100000000000001" customHeight="1">
      <c r="B11" s="16" t="s">
        <v>14</v>
      </c>
      <c r="C11" s="18">
        <v>0.72250000000000003</v>
      </c>
    </row>
    <row r="12" spans="1:5" s="1" customFormat="1" ht="17.100000000000001" customHeight="1">
      <c r="B12" s="16" t="s">
        <v>15</v>
      </c>
      <c r="C12" s="19">
        <f>1-C13</f>
        <v>0.12</v>
      </c>
    </row>
    <row r="13" spans="1:5" s="1" customFormat="1" ht="17.100000000000001" customHeight="1">
      <c r="B13" s="16" t="s">
        <v>16</v>
      </c>
      <c r="C13" s="20">
        <v>0.88</v>
      </c>
    </row>
    <row r="14" spans="1:5" s="1" customFormat="1" ht="17.100000000000001" customHeight="1">
      <c r="B14" s="16" t="s">
        <v>17</v>
      </c>
      <c r="C14" s="21">
        <v>25</v>
      </c>
      <c r="D14" s="1" t="s">
        <v>18</v>
      </c>
    </row>
    <row r="15" spans="1:5" s="1" customFormat="1" ht="17.100000000000001" customHeight="1">
      <c r="B15" s="16" t="s">
        <v>19</v>
      </c>
      <c r="C15" s="166">
        <v>200</v>
      </c>
      <c r="D15" s="1" t="s">
        <v>20</v>
      </c>
    </row>
    <row r="16" spans="1:5" s="1" customFormat="1" ht="17.100000000000001" customHeight="1">
      <c r="B16" s="22" t="s">
        <v>21</v>
      </c>
      <c r="C16" s="165">
        <v>0.05</v>
      </c>
    </row>
    <row r="17" spans="1:12" s="1" customFormat="1" ht="17.100000000000001" customHeight="1">
      <c r="C17" s="23"/>
    </row>
    <row r="18" spans="1:12" s="1" customFormat="1" ht="16.7" customHeight="1"/>
    <row r="19" spans="1:12" s="10" customFormat="1" ht="17.45" thickBot="1">
      <c r="A19" s="7">
        <v>2</v>
      </c>
      <c r="B19" s="8" t="s">
        <v>22</v>
      </c>
      <c r="C19" s="8"/>
      <c r="D19" s="8"/>
      <c r="E19" s="9"/>
    </row>
    <row r="20" spans="1:12" s="1" customFormat="1" ht="17.100000000000001" customHeight="1">
      <c r="G20" s="2" t="s">
        <v>23</v>
      </c>
    </row>
    <row r="21" spans="1:12" s="1" customFormat="1" ht="17.100000000000001" customHeight="1">
      <c r="B21" s="24"/>
      <c r="C21" s="25"/>
      <c r="D21" s="26" t="s">
        <v>24</v>
      </c>
      <c r="E21" s="26" t="s">
        <v>25</v>
      </c>
      <c r="F21" s="27" t="s">
        <v>26</v>
      </c>
      <c r="G21" s="26" t="s">
        <v>24</v>
      </c>
      <c r="H21" s="26" t="s">
        <v>25</v>
      </c>
      <c r="I21" s="26" t="s">
        <v>27</v>
      </c>
      <c r="J21" s="26" t="s">
        <v>28</v>
      </c>
    </row>
    <row r="22" spans="1:12" s="1" customFormat="1" ht="17.100000000000001" customHeight="1">
      <c r="B22" s="28" t="s">
        <v>29</v>
      </c>
      <c r="C22" s="29"/>
      <c r="D22" s="30">
        <v>1300</v>
      </c>
      <c r="E22" s="30">
        <v>130</v>
      </c>
      <c r="F22" s="168">
        <v>47</v>
      </c>
      <c r="G22" s="17">
        <v>1320</v>
      </c>
      <c r="H22" s="31">
        <f>E22*(1+$J$22)</f>
        <v>132.6</v>
      </c>
      <c r="I22" s="31">
        <f>F22*(1+$J$22)</f>
        <v>47.94</v>
      </c>
      <c r="J22" s="19">
        <f>2%</f>
        <v>0.02</v>
      </c>
    </row>
    <row r="23" spans="1:12" s="1" customFormat="1" ht="17.100000000000001" customHeight="1">
      <c r="B23" s="28" t="s">
        <v>30</v>
      </c>
      <c r="C23" s="32">
        <v>0.03</v>
      </c>
      <c r="D23" s="33"/>
      <c r="E23" s="29"/>
      <c r="F23" s="34"/>
      <c r="G23" s="35"/>
    </row>
    <row r="24" spans="1:12" s="1" customFormat="1" ht="17.100000000000001" customHeight="1">
      <c r="B24" s="28" t="s">
        <v>31</v>
      </c>
      <c r="C24" s="36">
        <v>0.8</v>
      </c>
      <c r="D24" s="33" t="s">
        <v>32</v>
      </c>
      <c r="E24" s="29"/>
      <c r="F24" s="34"/>
      <c r="G24" s="37" t="s">
        <v>33</v>
      </c>
      <c r="H24" s="37" t="s">
        <v>34</v>
      </c>
    </row>
    <row r="25" spans="1:12" s="1" customFormat="1" ht="17.100000000000001" customHeight="1" thickBot="1">
      <c r="B25" s="28" t="s">
        <v>35</v>
      </c>
      <c r="C25" s="38">
        <f>283/C10</f>
        <v>3.5107600764551737E-2</v>
      </c>
      <c r="D25" s="33" t="s">
        <v>36</v>
      </c>
      <c r="E25" s="29"/>
      <c r="F25" s="34"/>
      <c r="G25" s="173">
        <f>C25</f>
        <v>3.5107600764551737E-2</v>
      </c>
      <c r="H25" s="19">
        <v>0</v>
      </c>
    </row>
    <row r="26" spans="1:12" s="1" customFormat="1" ht="17.100000000000001" customHeight="1">
      <c r="B26" s="39" t="s">
        <v>37</v>
      </c>
      <c r="C26" s="40">
        <v>0.55000000000000004</v>
      </c>
      <c r="D26" s="35"/>
      <c r="E26" s="29"/>
      <c r="F26" s="34"/>
      <c r="G26" s="189" t="s">
        <v>38</v>
      </c>
      <c r="H26" s="30">
        <v>566000</v>
      </c>
      <c r="I26" s="41" t="s">
        <v>39</v>
      </c>
      <c r="J26" s="21">
        <v>283</v>
      </c>
      <c r="K26" s="42" t="s">
        <v>13</v>
      </c>
      <c r="L26" s="1" t="s">
        <v>40</v>
      </c>
    </row>
    <row r="27" spans="1:12" s="1" customFormat="1" ht="17.100000000000001" customHeight="1">
      <c r="B27" s="43" t="s">
        <v>41</v>
      </c>
      <c r="C27" s="44">
        <v>4.5499999999999999E-2</v>
      </c>
      <c r="D27" s="45" t="s">
        <v>42</v>
      </c>
      <c r="E27" s="29"/>
      <c r="F27" s="34"/>
      <c r="G27" s="189" t="s">
        <v>43</v>
      </c>
      <c r="H27" s="30">
        <v>16200</v>
      </c>
      <c r="I27" s="41" t="s">
        <v>44</v>
      </c>
      <c r="J27" s="1">
        <v>2000</v>
      </c>
      <c r="K27" s="42"/>
    </row>
    <row r="28" spans="1:12" s="1" customFormat="1" ht="17.100000000000001" customHeight="1">
      <c r="B28" s="43" t="s">
        <v>45</v>
      </c>
      <c r="C28" s="46">
        <v>0.6</v>
      </c>
      <c r="D28" s="47"/>
      <c r="E28" s="29"/>
      <c r="F28" s="34"/>
      <c r="G28" s="189" t="s">
        <v>46</v>
      </c>
      <c r="H28" s="194">
        <v>0</v>
      </c>
      <c r="I28" s="41" t="s">
        <v>47</v>
      </c>
      <c r="J28" s="48"/>
    </row>
    <row r="29" spans="1:12" s="1" customFormat="1" ht="17.100000000000001" customHeight="1" thickBot="1">
      <c r="B29" s="49" t="s">
        <v>41</v>
      </c>
      <c r="C29" s="50">
        <v>3.95E-2</v>
      </c>
      <c r="D29" s="33" t="s">
        <v>48</v>
      </c>
      <c r="E29" s="29"/>
      <c r="F29" s="34"/>
      <c r="G29" s="189" t="s">
        <v>49</v>
      </c>
      <c r="H29" s="193">
        <v>1219</v>
      </c>
      <c r="I29" s="41" t="s">
        <v>50</v>
      </c>
    </row>
    <row r="30" spans="1:12" s="1" customFormat="1" ht="21.95" customHeight="1">
      <c r="B30" s="28" t="s">
        <v>51</v>
      </c>
      <c r="C30" s="32">
        <v>4.4999999999999998E-2</v>
      </c>
      <c r="D30" s="33" t="s">
        <v>52</v>
      </c>
      <c r="E30" s="29"/>
      <c r="F30" s="34"/>
      <c r="G30" s="189" t="s">
        <v>53</v>
      </c>
      <c r="H30" s="21">
        <v>0</v>
      </c>
      <c r="I30" s="41" t="s">
        <v>47</v>
      </c>
      <c r="J30" s="48">
        <f>SUM(J28:J29)</f>
        <v>0</v>
      </c>
    </row>
    <row r="31" spans="1:12" s="1" customFormat="1" ht="17.100000000000001" customHeight="1">
      <c r="B31" s="51" t="s">
        <v>54</v>
      </c>
      <c r="C31" s="52">
        <v>0.05</v>
      </c>
      <c r="D31" s="53" t="s">
        <v>55</v>
      </c>
      <c r="E31" s="54"/>
      <c r="F31" s="55"/>
      <c r="G31" s="190" t="s">
        <v>56</v>
      </c>
      <c r="H31" s="195">
        <v>40000</v>
      </c>
      <c r="I31" s="191" t="s">
        <v>57</v>
      </c>
      <c r="J31" s="192">
        <f>SUM(H26:H31)</f>
        <v>623419</v>
      </c>
    </row>
    <row r="32" spans="1:12" s="1" customFormat="1" ht="16.7" customHeight="1">
      <c r="B32" s="29"/>
      <c r="C32" s="29"/>
      <c r="D32" s="29"/>
      <c r="E32" s="29"/>
      <c r="F32" s="29"/>
      <c r="G32" s="29"/>
    </row>
    <row r="33" spans="1:14" s="10" customFormat="1" ht="17.45" thickBot="1">
      <c r="A33" s="7">
        <v>3</v>
      </c>
      <c r="B33" s="8" t="s">
        <v>58</v>
      </c>
      <c r="C33" s="8"/>
      <c r="D33" s="8"/>
      <c r="E33" s="9"/>
    </row>
    <row r="34" spans="1:14" s="1" customFormat="1" ht="17.100000000000001" customHeight="1"/>
    <row r="35" spans="1:14" s="1" customFormat="1" ht="17.100000000000001" customHeight="1">
      <c r="D35" s="56" t="s">
        <v>59</v>
      </c>
      <c r="E35" s="57" t="s">
        <v>60</v>
      </c>
      <c r="F35" s="57" t="s">
        <v>61</v>
      </c>
      <c r="G35" s="57" t="s">
        <v>62</v>
      </c>
      <c r="H35" s="57" t="s">
        <v>63</v>
      </c>
      <c r="I35" s="57" t="s">
        <v>64</v>
      </c>
      <c r="J35" s="57" t="s">
        <v>65</v>
      </c>
      <c r="K35" s="57" t="s">
        <v>66</v>
      </c>
    </row>
    <row r="36" spans="1:14" s="1" customFormat="1" ht="17.100000000000001" customHeight="1">
      <c r="B36" s="58" t="s">
        <v>67</v>
      </c>
      <c r="C36" s="59"/>
      <c r="D36" s="59"/>
      <c r="E36" s="59"/>
      <c r="F36" s="59"/>
      <c r="G36" s="59"/>
      <c r="H36" s="59"/>
      <c r="I36" s="59"/>
      <c r="J36" s="59"/>
      <c r="K36" s="60"/>
    </row>
    <row r="37" spans="1:14" s="1" customFormat="1" ht="17.100000000000001" customHeight="1">
      <c r="B37" s="61"/>
      <c r="C37" s="1" t="s">
        <v>68</v>
      </c>
      <c r="D37" s="35"/>
      <c r="E37" s="35"/>
      <c r="F37" s="17">
        <f>C9*E22*12</f>
        <v>17404920</v>
      </c>
      <c r="G37" s="17">
        <f>C9*H22*12</f>
        <v>17753018.399999999</v>
      </c>
      <c r="H37" s="35">
        <f>G37*(1+$C$23)</f>
        <v>18285608.952</v>
      </c>
      <c r="I37" s="35">
        <f>H37*(1+$C$23)</f>
        <v>18834177.220559999</v>
      </c>
      <c r="J37" s="35">
        <f>I37*(1+$C$23)</f>
        <v>19399202.537176799</v>
      </c>
      <c r="K37" s="62">
        <f t="shared" ref="K37" si="0">J37*(1+$C$23)</f>
        <v>19981178.613292102</v>
      </c>
    </row>
    <row r="38" spans="1:14" s="1" customFormat="1" ht="17.100000000000001" customHeight="1">
      <c r="B38" s="61"/>
      <c r="C38" s="1" t="s">
        <v>69</v>
      </c>
      <c r="D38" s="35"/>
      <c r="E38" s="35"/>
      <c r="F38" s="17">
        <f>C9*F22*12</f>
        <v>6292548</v>
      </c>
      <c r="G38" s="17">
        <f>C9*I22*12</f>
        <v>6418398.959999999</v>
      </c>
      <c r="H38" s="35">
        <f>G38*(1+$C$23)</f>
        <v>6610950.9287999989</v>
      </c>
      <c r="I38" s="35">
        <f t="shared" ref="I38:K38" si="1">H38*(1+$C$23)</f>
        <v>6809279.4566639988</v>
      </c>
      <c r="J38" s="35">
        <f t="shared" si="1"/>
        <v>7013557.8403639188</v>
      </c>
      <c r="K38" s="62">
        <f t="shared" si="1"/>
        <v>7223964.5755748367</v>
      </c>
    </row>
    <row r="39" spans="1:14" s="1" customFormat="1" ht="17.100000000000001" customHeight="1">
      <c r="B39" s="61"/>
      <c r="C39" s="1" t="s">
        <v>70</v>
      </c>
      <c r="D39" s="35"/>
      <c r="E39" s="35"/>
      <c r="F39" s="17">
        <f>C14*C15*12</f>
        <v>60000</v>
      </c>
      <c r="G39" s="175">
        <f>F39</f>
        <v>60000</v>
      </c>
      <c r="H39" s="175">
        <f>G39</f>
        <v>60000</v>
      </c>
      <c r="I39" s="175">
        <f>H39</f>
        <v>60000</v>
      </c>
      <c r="J39" s="175">
        <f>I39</f>
        <v>60000</v>
      </c>
      <c r="K39" s="174">
        <f>J39</f>
        <v>60000</v>
      </c>
    </row>
    <row r="40" spans="1:14" s="1" customFormat="1" ht="17.100000000000001" customHeight="1">
      <c r="B40" s="63" t="s">
        <v>71</v>
      </c>
      <c r="C40" s="64"/>
      <c r="D40" s="65"/>
      <c r="E40" s="65"/>
      <c r="F40" s="66">
        <f t="shared" ref="F40:J40" si="2">SUM(F37:F39)</f>
        <v>23757468</v>
      </c>
      <c r="G40" s="66">
        <f t="shared" si="2"/>
        <v>24231417.359999999</v>
      </c>
      <c r="H40" s="66">
        <f t="shared" si="2"/>
        <v>24956559.880799998</v>
      </c>
      <c r="I40" s="66">
        <f t="shared" si="2"/>
        <v>25703456.677223999</v>
      </c>
      <c r="J40" s="66">
        <f t="shared" si="2"/>
        <v>26472760.377540719</v>
      </c>
      <c r="K40" s="67">
        <f>SUM(K37:K39)</f>
        <v>27265143.188866939</v>
      </c>
    </row>
    <row r="41" spans="1:14" s="1" customFormat="1" ht="17.100000000000001" customHeight="1">
      <c r="B41" s="68"/>
      <c r="C41" s="69" t="s">
        <v>72</v>
      </c>
      <c r="D41" s="70"/>
      <c r="E41" s="70"/>
      <c r="F41" s="171">
        <f>C25</f>
        <v>3.5107600764551737E-2</v>
      </c>
      <c r="G41" s="171">
        <f>0%</f>
        <v>0</v>
      </c>
      <c r="H41" s="172">
        <f>G41</f>
        <v>0</v>
      </c>
      <c r="I41" s="172">
        <f>G41</f>
        <v>0</v>
      </c>
      <c r="J41" s="172">
        <f>I41</f>
        <v>0</v>
      </c>
      <c r="K41" s="172">
        <f>J41</f>
        <v>0</v>
      </c>
    </row>
    <row r="42" spans="1:14" s="1" customFormat="1" ht="17.100000000000001" customHeight="1">
      <c r="B42" s="71" t="s">
        <v>73</v>
      </c>
      <c r="C42" s="64"/>
      <c r="D42" s="65"/>
      <c r="E42" s="65"/>
      <c r="F42" s="66">
        <f t="shared" ref="F42:K42" si="3">F40*(1-F41)</f>
        <v>22923400.298279386</v>
      </c>
      <c r="G42" s="66">
        <f t="shared" si="3"/>
        <v>24231417.359999999</v>
      </c>
      <c r="H42" s="66">
        <f t="shared" si="3"/>
        <v>24956559.880799998</v>
      </c>
      <c r="I42" s="66">
        <f t="shared" si="3"/>
        <v>25703456.677223999</v>
      </c>
      <c r="J42" s="66">
        <f t="shared" si="3"/>
        <v>26472760.377540719</v>
      </c>
      <c r="K42" s="72">
        <f t="shared" si="3"/>
        <v>27265143.188866939</v>
      </c>
    </row>
    <row r="43" spans="1:14" s="1" customFormat="1" ht="17.100000000000001" customHeight="1">
      <c r="B43" s="73"/>
      <c r="C43" s="1" t="s">
        <v>74</v>
      </c>
      <c r="D43" s="35"/>
      <c r="E43" s="35"/>
      <c r="F43" s="74">
        <f>-F38*($C$24)</f>
        <v>-5034038.4000000004</v>
      </c>
      <c r="G43" s="74">
        <f>-G38*($C$24)</f>
        <v>-5134719.1679999996</v>
      </c>
      <c r="H43" s="74">
        <f t="shared" ref="H43:K43" si="4">-H38*($C$24)</f>
        <v>-5288760.7430399992</v>
      </c>
      <c r="I43" s="74">
        <f t="shared" si="4"/>
        <v>-5447423.5653311992</v>
      </c>
      <c r="J43" s="74">
        <f t="shared" si="4"/>
        <v>-5610846.272291135</v>
      </c>
      <c r="K43" s="75">
        <f t="shared" si="4"/>
        <v>-5779171.6604598695</v>
      </c>
    </row>
    <row r="44" spans="1:14" s="1" customFormat="1" ht="17.100000000000001" customHeight="1">
      <c r="B44" s="71" t="s">
        <v>75</v>
      </c>
      <c r="C44" s="64"/>
      <c r="D44" s="65"/>
      <c r="E44" s="65"/>
      <c r="F44" s="66">
        <f t="shared" ref="F44:K44" si="5">SUM(F42:F43)</f>
        <v>17889361.898279384</v>
      </c>
      <c r="G44" s="66">
        <f t="shared" si="5"/>
        <v>19096698.192000002</v>
      </c>
      <c r="H44" s="66">
        <f t="shared" si="5"/>
        <v>19667799.137759998</v>
      </c>
      <c r="I44" s="66">
        <f t="shared" si="5"/>
        <v>20256033.111892801</v>
      </c>
      <c r="J44" s="66">
        <f t="shared" si="5"/>
        <v>20861914.105249584</v>
      </c>
      <c r="K44" s="72">
        <f t="shared" si="5"/>
        <v>21485971.528407071</v>
      </c>
    </row>
    <row r="45" spans="1:14" s="1" customFormat="1" ht="17.100000000000001" customHeight="1">
      <c r="B45" s="73"/>
      <c r="C45" s="1" t="s">
        <v>76</v>
      </c>
      <c r="D45" s="35"/>
      <c r="E45" s="35"/>
      <c r="F45" s="76">
        <f>-F37*$C$16</f>
        <v>-870246</v>
      </c>
      <c r="G45" s="76">
        <f t="shared" ref="G45:K45" si="6">-G37*$C$16</f>
        <v>-887650.91999999993</v>
      </c>
      <c r="H45" s="76">
        <f t="shared" si="6"/>
        <v>-914280.44760000007</v>
      </c>
      <c r="I45" s="76">
        <f t="shared" si="6"/>
        <v>-941708.86102800001</v>
      </c>
      <c r="J45" s="76">
        <f t="shared" si="6"/>
        <v>-969960.12685884</v>
      </c>
      <c r="K45" s="77">
        <f t="shared" si="6"/>
        <v>-999058.93066460511</v>
      </c>
      <c r="N45" s="78"/>
    </row>
    <row r="46" spans="1:14" s="1" customFormat="1" ht="17.100000000000001" customHeight="1">
      <c r="B46" s="73"/>
      <c r="C46" s="1" t="s">
        <v>77</v>
      </c>
      <c r="D46" s="35"/>
      <c r="E46" s="35"/>
      <c r="F46" s="76">
        <f>-C7*0.3%</f>
        <v>-903717</v>
      </c>
      <c r="G46" s="76">
        <f>F46</f>
        <v>-903717</v>
      </c>
      <c r="H46" s="76">
        <f>G46</f>
        <v>-903717</v>
      </c>
      <c r="I46" s="76">
        <f>H46</f>
        <v>-903717</v>
      </c>
      <c r="J46" s="76">
        <f>I46</f>
        <v>-903717</v>
      </c>
      <c r="K46" s="77">
        <f>J46</f>
        <v>-903717</v>
      </c>
    </row>
    <row r="47" spans="1:14" s="1" customFormat="1" ht="17.100000000000001" customHeight="1">
      <c r="B47" s="71" t="s">
        <v>78</v>
      </c>
      <c r="C47" s="64"/>
      <c r="D47" s="65"/>
      <c r="E47" s="65"/>
      <c r="F47" s="66">
        <f t="shared" ref="F47:K47" si="7">SUM(F44:F46)</f>
        <v>16115398.898279384</v>
      </c>
      <c r="G47" s="66">
        <f t="shared" si="7"/>
        <v>17305330.272</v>
      </c>
      <c r="H47" s="66">
        <f t="shared" si="7"/>
        <v>17849801.690159999</v>
      </c>
      <c r="I47" s="66">
        <f t="shared" si="7"/>
        <v>18410607.2508648</v>
      </c>
      <c r="J47" s="66">
        <f t="shared" si="7"/>
        <v>18988236.978390742</v>
      </c>
      <c r="K47" s="72">
        <f t="shared" si="7"/>
        <v>19583195.597742464</v>
      </c>
    </row>
    <row r="48" spans="1:14" s="1" customFormat="1" ht="17.100000000000001" customHeight="1">
      <c r="B48" s="79"/>
      <c r="C48" s="1" t="s">
        <v>79</v>
      </c>
      <c r="D48" s="35"/>
      <c r="E48" s="76">
        <f>-C7</f>
        <v>-301239000</v>
      </c>
      <c r="F48" s="76"/>
      <c r="G48" s="76"/>
      <c r="H48" s="76"/>
      <c r="I48" s="76"/>
      <c r="J48" s="76"/>
      <c r="K48" s="77"/>
    </row>
    <row r="49" spans="2:11" s="1" customFormat="1" ht="17.100000000000001" customHeight="1">
      <c r="B49" s="79"/>
      <c r="C49" s="1" t="s">
        <v>80</v>
      </c>
      <c r="D49" s="35"/>
      <c r="E49" s="76">
        <f>C9*D22</f>
        <v>14504100</v>
      </c>
      <c r="F49" s="76"/>
      <c r="G49" s="76"/>
      <c r="H49" s="76"/>
      <c r="I49" s="76"/>
      <c r="J49" s="76">
        <f>-E49</f>
        <v>-14504100</v>
      </c>
      <c r="K49" s="77"/>
    </row>
    <row r="50" spans="2:11" s="1" customFormat="1" ht="17.100000000000001" customHeight="1">
      <c r="B50" s="79"/>
      <c r="C50" s="1" t="s">
        <v>81</v>
      </c>
      <c r="D50" s="35"/>
      <c r="E50" s="76">
        <f>-C7*C13*10%</f>
        <v>-26509032</v>
      </c>
      <c r="F50" s="76"/>
      <c r="G50" s="76"/>
      <c r="H50" s="76"/>
      <c r="I50" s="76"/>
      <c r="J50" s="76"/>
      <c r="K50" s="77"/>
    </row>
    <row r="51" spans="2:11" s="1" customFormat="1" ht="17.100000000000001" customHeight="1">
      <c r="B51" s="79"/>
      <c r="C51" s="1" t="s">
        <v>82</v>
      </c>
      <c r="D51" s="35"/>
      <c r="E51" s="76">
        <v>0</v>
      </c>
      <c r="F51" s="76"/>
      <c r="G51" s="76"/>
      <c r="H51" s="76"/>
      <c r="I51" s="76"/>
      <c r="J51" s="76"/>
      <c r="K51" s="77"/>
    </row>
    <row r="52" spans="2:11" s="1" customFormat="1" ht="17.100000000000001" customHeight="1">
      <c r="B52" s="79"/>
      <c r="C52" s="1" t="s">
        <v>83</v>
      </c>
      <c r="D52" s="35"/>
      <c r="E52" s="76">
        <f>-C7*1%</f>
        <v>-3012390</v>
      </c>
      <c r="F52" s="76"/>
      <c r="G52" s="76"/>
      <c r="H52" s="76"/>
      <c r="I52" s="76"/>
      <c r="J52" s="76"/>
      <c r="K52" s="77"/>
    </row>
    <row r="53" spans="2:11" s="1" customFormat="1" ht="17.100000000000001" customHeight="1">
      <c r="B53" s="79"/>
      <c r="C53" s="1" t="s">
        <v>84</v>
      </c>
      <c r="D53" s="35"/>
      <c r="E53" s="76">
        <f>-J31</f>
        <v>-623419</v>
      </c>
      <c r="G53" s="76"/>
      <c r="H53" s="76"/>
      <c r="I53" s="76"/>
      <c r="J53" s="76"/>
      <c r="K53" s="77"/>
    </row>
    <row r="54" spans="2:11" s="1" customFormat="1" ht="17.100000000000001" customHeight="1">
      <c r="B54" s="79"/>
      <c r="C54" s="1" t="s">
        <v>85</v>
      </c>
      <c r="D54" s="35"/>
      <c r="E54" s="76"/>
      <c r="F54" s="76"/>
      <c r="G54" s="76"/>
      <c r="H54" s="76"/>
      <c r="I54" s="76"/>
      <c r="J54" s="76">
        <f>K44/C31</f>
        <v>429719430.5681414</v>
      </c>
      <c r="K54" s="77"/>
    </row>
    <row r="55" spans="2:11" s="1" customFormat="1" ht="17.100000000000001" customHeight="1">
      <c r="B55" s="79"/>
      <c r="D55" s="35"/>
      <c r="E55" s="76"/>
      <c r="F55" s="76"/>
      <c r="G55" s="76"/>
      <c r="H55" s="76"/>
      <c r="I55" s="76"/>
      <c r="J55" s="76"/>
      <c r="K55" s="77"/>
    </row>
    <row r="56" spans="2:11" s="1" customFormat="1" ht="17.100000000000001" customHeight="1">
      <c r="B56" s="79"/>
      <c r="D56" s="35"/>
      <c r="E56" s="76"/>
      <c r="F56" s="76"/>
      <c r="G56" s="76"/>
      <c r="H56" s="76"/>
      <c r="I56" s="76"/>
      <c r="J56" s="76"/>
      <c r="K56" s="77"/>
    </row>
    <row r="57" spans="2:11" s="1" customFormat="1" ht="17.100000000000001" customHeight="1">
      <c r="B57" s="71" t="s">
        <v>86</v>
      </c>
      <c r="C57" s="64"/>
      <c r="D57" s="80">
        <f>IRR(E57:J57)</f>
        <v>0.10577660294986724</v>
      </c>
      <c r="E57" s="81">
        <f>SUM(E48:E55)</f>
        <v>-316879741</v>
      </c>
      <c r="F57" s="81">
        <f>SUM(F47:F55)</f>
        <v>16115398.898279384</v>
      </c>
      <c r="G57" s="81">
        <f>SUM(G47:G54)</f>
        <v>17305330.272</v>
      </c>
      <c r="H57" s="81">
        <f>SUM(H47:H54)</f>
        <v>17849801.690159999</v>
      </c>
      <c r="I57" s="81">
        <f>SUM(I47:I54)</f>
        <v>18410607.2508648</v>
      </c>
      <c r="J57" s="81">
        <f>SUM(J47:J54)</f>
        <v>434203567.54653215</v>
      </c>
      <c r="K57" s="82">
        <f t="shared" ref="K57" si="8">SUM(K47:K54)</f>
        <v>19583195.597742464</v>
      </c>
    </row>
    <row r="58" spans="2:11" s="1" customFormat="1" ht="17.100000000000001" customHeight="1">
      <c r="B58" s="73"/>
      <c r="C58" s="1" t="s">
        <v>87</v>
      </c>
      <c r="D58" s="35"/>
      <c r="E58" s="76">
        <f>-E48*C26</f>
        <v>165681450</v>
      </c>
      <c r="F58" s="76"/>
      <c r="G58" s="76"/>
      <c r="H58" s="76"/>
      <c r="I58" s="76"/>
      <c r="J58" s="76">
        <f>-E58</f>
        <v>-165681450</v>
      </c>
      <c r="K58" s="77"/>
    </row>
    <row r="59" spans="2:11" s="1" customFormat="1" ht="17.100000000000001" customHeight="1">
      <c r="B59" s="73"/>
      <c r="C59" s="1" t="s">
        <v>88</v>
      </c>
      <c r="D59" s="35"/>
      <c r="E59" s="76">
        <f>-E50</f>
        <v>26509032</v>
      </c>
      <c r="F59" s="76">
        <f>-E59</f>
        <v>-26509032</v>
      </c>
      <c r="G59" s="76"/>
      <c r="H59" s="76"/>
      <c r="I59" s="76"/>
      <c r="J59" s="76"/>
      <c r="K59" s="77"/>
    </row>
    <row r="60" spans="2:11" s="1" customFormat="1" ht="17.100000000000001" customHeight="1">
      <c r="B60" s="73"/>
      <c r="C60" s="1" t="s">
        <v>89</v>
      </c>
      <c r="D60" s="35"/>
      <c r="E60" s="76">
        <f>-(E58+E59)*1%</f>
        <v>-1921904.82</v>
      </c>
      <c r="F60" s="76"/>
      <c r="G60" s="76"/>
      <c r="H60" s="76"/>
      <c r="I60" s="76"/>
      <c r="J60" s="76"/>
      <c r="K60" s="77"/>
    </row>
    <row r="61" spans="2:11" s="1" customFormat="1" ht="17.100000000000001" customHeight="1" thickBot="1">
      <c r="B61" s="73"/>
      <c r="C61" s="1" t="s">
        <v>90</v>
      </c>
      <c r="D61" s="35"/>
      <c r="F61" s="76"/>
      <c r="G61" s="83"/>
      <c r="H61" s="83">
        <f>-E58*1%</f>
        <v>-1656814.5</v>
      </c>
      <c r="I61" s="83"/>
      <c r="J61" s="83"/>
      <c r="K61" s="77"/>
    </row>
    <row r="62" spans="2:11" s="1" customFormat="1" ht="17.100000000000001" customHeight="1" thickTop="1" thickBot="1">
      <c r="B62" s="73"/>
      <c r="C62" s="1" t="s">
        <v>91</v>
      </c>
      <c r="D62" s="35"/>
      <c r="E62" s="76"/>
      <c r="F62" s="84">
        <f>-((E58+E59)*C27)</f>
        <v>-8744666.9309999999</v>
      </c>
      <c r="G62" s="169">
        <f>-E58*C27</f>
        <v>-7538505.9749999996</v>
      </c>
      <c r="H62" s="85">
        <f>-E58*C29</f>
        <v>-6544417.2750000004</v>
      </c>
      <c r="I62" s="85">
        <f>H62</f>
        <v>-6544417.2750000004</v>
      </c>
      <c r="J62" s="170">
        <f>I62</f>
        <v>-6544417.2750000004</v>
      </c>
      <c r="K62" s="86"/>
    </row>
    <row r="63" spans="2:11" s="1" customFormat="1" ht="17.100000000000001" customHeight="1">
      <c r="B63" s="87" t="s">
        <v>92</v>
      </c>
      <c r="C63" s="88"/>
      <c r="D63" s="89">
        <f>IRR(E63:J63)</f>
        <v>0.16283089310314458</v>
      </c>
      <c r="E63" s="90">
        <f t="shared" ref="E63:J63" si="9">SUM(E57:E62)</f>
        <v>-126611163.81999999</v>
      </c>
      <c r="F63" s="90">
        <f t="shared" si="9"/>
        <v>-19138300.032720618</v>
      </c>
      <c r="G63" s="90">
        <f t="shared" si="9"/>
        <v>9766824.2970000003</v>
      </c>
      <c r="H63" s="90">
        <f t="shared" si="9"/>
        <v>9648569.9151599985</v>
      </c>
      <c r="I63" s="90">
        <f t="shared" si="9"/>
        <v>11866189.9758648</v>
      </c>
      <c r="J63" s="90">
        <f t="shared" si="9"/>
        <v>261977700.27153215</v>
      </c>
      <c r="K63" s="90"/>
    </row>
    <row r="64" spans="2:11" s="1" customFormat="1" ht="16.7" customHeight="1"/>
    <row r="65" spans="1:11" s="1" customFormat="1" ht="17.100000000000001" customHeight="1">
      <c r="K65" s="20"/>
    </row>
    <row r="66" spans="1:11" s="1" customFormat="1" ht="17.100000000000001" customHeight="1">
      <c r="D66" s="196"/>
      <c r="K66" s="20"/>
    </row>
    <row r="67" spans="1:11" s="1" customFormat="1" ht="17.100000000000001" customHeight="1"/>
    <row r="68" spans="1:11" s="1" customFormat="1" ht="17.100000000000001" customHeight="1"/>
    <row r="69" spans="1:11" s="91" customFormat="1" ht="17.100000000000001" customHeight="1" thickBot="1">
      <c r="A69" s="7">
        <v>4</v>
      </c>
      <c r="B69" s="8" t="s">
        <v>93</v>
      </c>
    </row>
    <row r="70" spans="1:11" s="1" customFormat="1" ht="17.100000000000001" customHeight="1"/>
    <row r="71" spans="1:11" s="1" customFormat="1" ht="17.100000000000001" customHeight="1">
      <c r="B71" s="201" t="s">
        <v>94</v>
      </c>
      <c r="C71" s="201"/>
      <c r="D71" s="201"/>
      <c r="E71" s="202"/>
      <c r="F71" s="201" t="s">
        <v>95</v>
      </c>
      <c r="G71" s="201"/>
      <c r="H71" s="201"/>
      <c r="I71" s="201"/>
    </row>
    <row r="72" spans="1:11" s="1" customFormat="1" ht="17.100000000000001" customHeight="1">
      <c r="B72" s="92" t="s">
        <v>5</v>
      </c>
      <c r="C72" s="92" t="s">
        <v>96</v>
      </c>
      <c r="D72" s="93" t="s">
        <v>97</v>
      </c>
      <c r="E72" s="92" t="s">
        <v>98</v>
      </c>
      <c r="F72" s="94" t="s">
        <v>5</v>
      </c>
      <c r="G72" s="94" t="s">
        <v>96</v>
      </c>
      <c r="H72" s="94" t="s">
        <v>97</v>
      </c>
      <c r="I72" s="95" t="s">
        <v>98</v>
      </c>
    </row>
    <row r="73" spans="1:11" s="1" customFormat="1" ht="17.100000000000001" customHeight="1">
      <c r="B73" s="96" t="s">
        <v>99</v>
      </c>
      <c r="C73" s="97">
        <f>C7</f>
        <v>301239000</v>
      </c>
      <c r="D73" s="98">
        <f>C73/C76</f>
        <v>0.9742980182778308</v>
      </c>
      <c r="E73" s="99">
        <f>C6</f>
        <v>27000</v>
      </c>
      <c r="F73" s="100" t="s">
        <v>100</v>
      </c>
      <c r="G73" s="101">
        <f>D22*C9</f>
        <v>14504100</v>
      </c>
      <c r="H73" s="98">
        <f>G73/G76</f>
        <v>4.6910645324488152E-2</v>
      </c>
      <c r="I73" s="102"/>
    </row>
    <row r="74" spans="1:11" s="1" customFormat="1" ht="17.100000000000001" customHeight="1">
      <c r="B74" s="96" t="s">
        <v>101</v>
      </c>
      <c r="C74" s="97">
        <f>-SUM(E51+E52+E60)</f>
        <v>4934294.82</v>
      </c>
      <c r="D74" s="98">
        <f>C74/C76</f>
        <v>1.5959001539390869E-2</v>
      </c>
      <c r="E74" s="103" t="s">
        <v>102</v>
      </c>
      <c r="F74" s="100" t="s">
        <v>103</v>
      </c>
      <c r="G74" s="101">
        <f>E58</f>
        <v>165681450</v>
      </c>
      <c r="H74" s="98">
        <f>G74/G76</f>
        <v>0.53586391005280698</v>
      </c>
      <c r="I74" s="102"/>
    </row>
    <row r="75" spans="1:11" s="1" customFormat="1" ht="17.100000000000001" customHeight="1">
      <c r="B75" s="104" t="s">
        <v>104</v>
      </c>
      <c r="C75" s="105">
        <f>C73*0.01</f>
        <v>3012390</v>
      </c>
      <c r="D75" s="106">
        <f>C75/C76</f>
        <v>9.7429801827783082E-3</v>
      </c>
      <c r="E75" s="107" t="s">
        <v>105</v>
      </c>
      <c r="F75" s="108" t="s">
        <v>106</v>
      </c>
      <c r="G75" s="109">
        <f>C76-(G73+G74)</f>
        <v>129000134.81999999</v>
      </c>
      <c r="H75" s="106">
        <f>G75/G76</f>
        <v>0.41722544462270489</v>
      </c>
      <c r="I75" s="110"/>
    </row>
    <row r="76" spans="1:11" s="1" customFormat="1" ht="17.100000000000001" customHeight="1">
      <c r="B76" s="96" t="s">
        <v>107</v>
      </c>
      <c r="C76" s="97">
        <f>SUM(C73:C75)</f>
        <v>309185684.81999999</v>
      </c>
      <c r="D76" s="111">
        <f>SUM(D73:D75)</f>
        <v>1</v>
      </c>
      <c r="E76" s="112">
        <f>C30</f>
        <v>4.4999999999999998E-2</v>
      </c>
      <c r="F76" s="100" t="s">
        <v>107</v>
      </c>
      <c r="G76" s="101">
        <f>SUM(G73:G75)</f>
        <v>309185684.81999999</v>
      </c>
      <c r="H76" s="113">
        <f>SUM(H73:H75)</f>
        <v>1</v>
      </c>
      <c r="I76" s="114"/>
    </row>
    <row r="77" spans="1:11" s="1" customFormat="1" ht="17.100000000000001" customHeight="1">
      <c r="H77" s="102"/>
    </row>
    <row r="78" spans="1:11" s="1" customFormat="1" ht="17.100000000000001" customHeight="1"/>
    <row r="79" spans="1:11" s="10" customFormat="1" ht="17.100000000000001" customHeight="1" thickBot="1">
      <c r="A79" s="7">
        <v>5</v>
      </c>
      <c r="B79" s="8" t="s">
        <v>108</v>
      </c>
    </row>
    <row r="80" spans="1:11" s="1" customFormat="1" ht="17.100000000000001" customHeight="1">
      <c r="A80" s="115"/>
      <c r="B80" s="2"/>
    </row>
    <row r="81" spans="1:8" s="1" customFormat="1" ht="17.100000000000001" customHeight="1">
      <c r="A81" s="115"/>
      <c r="B81" s="2" t="s">
        <v>109</v>
      </c>
    </row>
    <row r="82" spans="1:8" s="1" customFormat="1" ht="17.100000000000001" customHeight="1">
      <c r="B82" s="12" t="s">
        <v>5</v>
      </c>
      <c r="C82" s="13" t="s">
        <v>6</v>
      </c>
      <c r="H82" s="116"/>
    </row>
    <row r="83" spans="1:8" s="1" customFormat="1" ht="17.100000000000001" customHeight="1">
      <c r="B83" s="14" t="s">
        <v>110</v>
      </c>
      <c r="C83" s="117">
        <f>G75</f>
        <v>129000134.81999999</v>
      </c>
    </row>
    <row r="84" spans="1:8" s="1" customFormat="1" ht="17.100000000000001" customHeight="1">
      <c r="B84" s="16" t="s">
        <v>111</v>
      </c>
      <c r="C84" s="118">
        <v>0.09</v>
      </c>
    </row>
    <row r="85" spans="1:8" s="1" customFormat="1" ht="17.100000000000001" customHeight="1">
      <c r="B85" s="16" t="s">
        <v>112</v>
      </c>
      <c r="C85" s="156">
        <f>C83*C84</f>
        <v>11610012.133799998</v>
      </c>
    </row>
    <row r="86" spans="1:8" s="1" customFormat="1" ht="17.100000000000001" customHeight="1"/>
    <row r="87" spans="1:8" s="1" customFormat="1" ht="17.100000000000001" customHeight="1">
      <c r="B87" s="119"/>
      <c r="C87" s="120" t="s">
        <v>113</v>
      </c>
      <c r="D87" s="120" t="s">
        <v>114</v>
      </c>
      <c r="E87" s="120" t="s">
        <v>115</v>
      </c>
      <c r="F87" s="120" t="s">
        <v>116</v>
      </c>
      <c r="G87" s="120" t="s">
        <v>117</v>
      </c>
    </row>
    <row r="88" spans="1:8" s="1" customFormat="1" ht="17.100000000000001" customHeight="1">
      <c r="B88" s="121" t="s">
        <v>112</v>
      </c>
      <c r="C88" s="116">
        <f>C85</f>
        <v>11610012.133799998</v>
      </c>
      <c r="D88" s="116">
        <f>C85</f>
        <v>11610012.133799998</v>
      </c>
      <c r="E88" s="116">
        <f>C85</f>
        <v>11610012.133799998</v>
      </c>
      <c r="F88" s="116">
        <f>C85</f>
        <v>11610012.133799998</v>
      </c>
      <c r="G88" s="116">
        <f>C85</f>
        <v>11610012.133799998</v>
      </c>
      <c r="H88" s="78"/>
    </row>
    <row r="89" spans="1:8" s="1" customFormat="1" ht="17.100000000000001" customHeight="1" thickBot="1">
      <c r="B89" s="122" t="s">
        <v>118</v>
      </c>
      <c r="C89" s="116">
        <f>F47+F62</f>
        <v>7370731.9672793839</v>
      </c>
      <c r="D89" s="116">
        <f>G63</f>
        <v>9766824.2970000003</v>
      </c>
      <c r="E89" s="116">
        <f>H63</f>
        <v>9648569.9151599985</v>
      </c>
      <c r="F89" s="116">
        <f>I63</f>
        <v>11866189.9758648</v>
      </c>
      <c r="G89" s="116">
        <f>J47+J62</f>
        <v>12443819.703390742</v>
      </c>
    </row>
    <row r="90" spans="1:8" s="1" customFormat="1" ht="17.100000000000001" customHeight="1" thickTop="1" thickBot="1">
      <c r="B90" s="122" t="s">
        <v>119</v>
      </c>
      <c r="C90" s="123">
        <f>MAX(0,C88-C89)</f>
        <v>4239280.1665206142</v>
      </c>
      <c r="D90" s="123">
        <f t="shared" ref="D90:G90" si="10">MAX(0,D88-D89)</f>
        <v>1843187.8367999978</v>
      </c>
      <c r="E90" s="123">
        <f t="shared" si="10"/>
        <v>1961442.2186399996</v>
      </c>
      <c r="F90" s="123">
        <f t="shared" si="10"/>
        <v>0</v>
      </c>
      <c r="G90" s="123">
        <f t="shared" si="10"/>
        <v>0</v>
      </c>
      <c r="H90" s="124">
        <f>SUM(C90:G90)</f>
        <v>8043910.2219606116</v>
      </c>
    </row>
    <row r="91" spans="1:8" s="1" customFormat="1" ht="17.100000000000001" customHeight="1" thickTop="1">
      <c r="B91" s="122" t="s">
        <v>120</v>
      </c>
      <c r="C91" s="116">
        <f>-(C88-C89)</f>
        <v>-4239280.1665206142</v>
      </c>
      <c r="D91" s="116">
        <f>-(D88-D89)</f>
        <v>-1843187.8367999978</v>
      </c>
      <c r="E91" s="116">
        <f>-(E88-E89)</f>
        <v>-1961442.2186399996</v>
      </c>
      <c r="F91" s="116">
        <f>-(F88-F89)</f>
        <v>256177.8420648016</v>
      </c>
      <c r="G91" s="116">
        <f>-(G88-G89)</f>
        <v>833807.56959074363</v>
      </c>
    </row>
    <row r="92" spans="1:8" s="1" customFormat="1" ht="17.100000000000001" customHeight="1" thickBot="1"/>
    <row r="93" spans="1:8" s="1" customFormat="1" ht="17.100000000000001" customHeight="1" thickTop="1" thickBot="1">
      <c r="B93" s="125" t="s">
        <v>121</v>
      </c>
      <c r="C93" s="126">
        <f>(F47+F62+C90)/C83</f>
        <v>0.09</v>
      </c>
      <c r="D93" s="127">
        <f>(G63+D90)/C83</f>
        <v>0.09</v>
      </c>
      <c r="E93" s="127">
        <f>(H63+E90)/C83</f>
        <v>0.09</v>
      </c>
      <c r="F93" s="127">
        <f>(I63+F90)/C83</f>
        <v>9.1985872669220523E-2</v>
      </c>
      <c r="G93" s="128">
        <f>(J47+J62+G90)/C83</f>
        <v>9.646361781523867E-2</v>
      </c>
      <c r="H93" s="129">
        <f>AVERAGE(C93:G93)</f>
        <v>9.1689898096891848E-2</v>
      </c>
    </row>
    <row r="94" spans="1:8" s="1" customFormat="1" ht="17.100000000000001" customHeight="1" thickTop="1"/>
    <row r="95" spans="1:8" s="1" customFormat="1" ht="17.100000000000001" customHeight="1"/>
    <row r="96" spans="1:8" s="1" customFormat="1" ht="17.100000000000001" customHeight="1"/>
    <row r="97" spans="1:9" s="1" customFormat="1" ht="17.100000000000001" customHeight="1"/>
    <row r="98" spans="1:9" s="1" customFormat="1" ht="17.100000000000001" customHeight="1"/>
    <row r="99" spans="1:9" s="10" customFormat="1" ht="17.100000000000001" customHeight="1" thickBot="1">
      <c r="A99" s="7">
        <v>6</v>
      </c>
      <c r="B99" s="8" t="s">
        <v>122</v>
      </c>
      <c r="C99" s="8"/>
      <c r="D99" s="8"/>
      <c r="E99" s="9"/>
    </row>
    <row r="100" spans="1:9" s="1" customFormat="1" ht="17.100000000000001" customHeight="1"/>
    <row r="101" spans="1:9" s="1" customFormat="1" ht="17.100000000000001" customHeight="1">
      <c r="B101" s="2" t="s">
        <v>123</v>
      </c>
      <c r="C101" s="2" t="s">
        <v>124</v>
      </c>
    </row>
    <row r="102" spans="1:9" s="1" customFormat="1" ht="17.100000000000001" customHeight="1">
      <c r="B102" s="207" t="s">
        <v>125</v>
      </c>
      <c r="C102" s="210" t="s">
        <v>126</v>
      </c>
      <c r="D102" s="211"/>
      <c r="E102" s="211"/>
      <c r="F102" s="211"/>
      <c r="G102" s="211"/>
      <c r="H102" s="211"/>
      <c r="I102" s="212"/>
    </row>
    <row r="103" spans="1:9" s="1" customFormat="1" ht="17.100000000000001" customHeight="1">
      <c r="B103" s="208"/>
      <c r="C103" s="130">
        <f>IRR(E63:J63)</f>
        <v>0.16283089310314458</v>
      </c>
      <c r="D103" s="131">
        <f>F103*0.96</f>
        <v>127.29599999999999</v>
      </c>
      <c r="E103" s="131">
        <f>F103*0.98</f>
        <v>129.94799999999998</v>
      </c>
      <c r="F103" s="132">
        <f>132.6</f>
        <v>132.6</v>
      </c>
      <c r="G103" s="133">
        <f>F103*1.02</f>
        <v>135.25200000000001</v>
      </c>
      <c r="H103" s="133">
        <f>F103*1.04</f>
        <v>137.904</v>
      </c>
      <c r="I103" s="134">
        <f>F103*1.06</f>
        <v>140.55600000000001</v>
      </c>
    </row>
    <row r="104" spans="1:9" s="1" customFormat="1" ht="17.100000000000001" customHeight="1">
      <c r="B104" s="208"/>
      <c r="C104" s="135">
        <v>4.2000000000000003E-2</v>
      </c>
      <c r="D104" s="136">
        <f t="dataTable" ref="D104:I112" dt2D="1" dtr="1" r1="H22" r2="C31"/>
        <v>0.20812737090748712</v>
      </c>
      <c r="E104" s="137">
        <v>0.21612670128982203</v>
      </c>
      <c r="F104" s="138">
        <v>0.22394763703247422</v>
      </c>
      <c r="G104" s="139">
        <v>0.23159926509605322</v>
      </c>
      <c r="H104" s="136">
        <v>0.23908996984220199</v>
      </c>
      <c r="I104" s="139">
        <v>0.24642750486100118</v>
      </c>
    </row>
    <row r="105" spans="1:9" s="1" customFormat="1" ht="17.100000000000001" customHeight="1">
      <c r="B105" s="208"/>
      <c r="C105" s="140">
        <v>4.3999999999999997E-2</v>
      </c>
      <c r="D105" s="141">
        <v>0.19182226570792316</v>
      </c>
      <c r="E105" s="141">
        <v>0.19991859492051511</v>
      </c>
      <c r="F105" s="141">
        <v>0.20782990761781184</v>
      </c>
      <c r="G105" s="141">
        <v>0.21556585838055109</v>
      </c>
      <c r="H105" s="141">
        <v>0.22313533748161518</v>
      </c>
      <c r="I105" s="142">
        <v>0.23054655084133135</v>
      </c>
    </row>
    <row r="106" spans="1:9" s="1" customFormat="1" ht="17.100000000000001" customHeight="1">
      <c r="B106" s="208"/>
      <c r="C106" s="140">
        <v>4.5999999999999999E-2</v>
      </c>
      <c r="D106" s="141">
        <v>0.17610419407775346</v>
      </c>
      <c r="E106" s="141">
        <v>0.18430439892508255</v>
      </c>
      <c r="F106" s="141">
        <v>0.19231248204738494</v>
      </c>
      <c r="G106" s="141">
        <v>0.20013871867828481</v>
      </c>
      <c r="H106" s="141">
        <v>0.20779255081665293</v>
      </c>
      <c r="I106" s="142">
        <v>0.21528267645985544</v>
      </c>
    </row>
    <row r="107" spans="1:9" s="1" customFormat="1" ht="17.100000000000001" customHeight="1">
      <c r="B107" s="208"/>
      <c r="C107" s="140">
        <v>4.8000000000000001E-2</v>
      </c>
      <c r="D107" s="176">
        <v>0.16090904606109091</v>
      </c>
      <c r="E107" s="176">
        <v>0.16922015154623704</v>
      </c>
      <c r="F107" s="176">
        <v>0.17733150775957007</v>
      </c>
      <c r="G107" s="176">
        <v>0.18525406961496604</v>
      </c>
      <c r="H107" s="176">
        <v>0.19299788163237763</v>
      </c>
      <c r="I107" s="177">
        <v>0.20057217779095304</v>
      </c>
    </row>
    <row r="108" spans="1:9" s="1" customFormat="1" ht="17.100000000000001" customHeight="1">
      <c r="B108" s="208"/>
      <c r="C108" s="143">
        <v>0.05</v>
      </c>
      <c r="D108" s="176">
        <v>0.14618036340021523</v>
      </c>
      <c r="E108" s="176">
        <v>0.15460959998788293</v>
      </c>
      <c r="F108" s="176">
        <v>0.16283089310314458</v>
      </c>
      <c r="G108" s="176">
        <v>0.17085594324841935</v>
      </c>
      <c r="H108" s="176">
        <v>0.17869545395315267</v>
      </c>
      <c r="I108" s="177">
        <v>0.18635924381823354</v>
      </c>
    </row>
    <row r="109" spans="1:9" s="1" customFormat="1" ht="17.100000000000001" customHeight="1">
      <c r="B109" s="208"/>
      <c r="C109" s="140">
        <v>5.1999999999999998E-2</v>
      </c>
      <c r="D109" s="178">
        <v>0.13186802500881156</v>
      </c>
      <c r="E109" s="176">
        <v>0.1404228854649483</v>
      </c>
      <c r="F109" s="178">
        <v>0.14876099129626175</v>
      </c>
      <c r="G109" s="176">
        <v>0.15689486241889594</v>
      </c>
      <c r="H109" s="176">
        <v>0.16483592438179473</v>
      </c>
      <c r="I109" s="176">
        <v>0.17259463444944223</v>
      </c>
    </row>
    <row r="110" spans="1:9" s="1" customFormat="1" ht="17.100000000000001" customHeight="1">
      <c r="B110" s="208"/>
      <c r="C110" s="143">
        <v>5.3999999999999999E-2</v>
      </c>
      <c r="D110" s="178">
        <v>0.11792718174686945</v>
      </c>
      <c r="E110" s="176">
        <v>0.12661547900679437</v>
      </c>
      <c r="F110" s="178">
        <v>0.13507753644822063</v>
      </c>
      <c r="G110" s="178">
        <v>0.14332677636007274</v>
      </c>
      <c r="H110" s="178">
        <v>0.15137541680936906</v>
      </c>
      <c r="I110" s="176">
        <v>0.15923461394166583</v>
      </c>
    </row>
    <row r="111" spans="1:9" s="1" customFormat="1" ht="17.100000000000001" customHeight="1">
      <c r="B111" s="208"/>
      <c r="C111" s="143">
        <v>5.6000000000000001E-2</v>
      </c>
      <c r="D111" s="176">
        <v>0.10431738336524043</v>
      </c>
      <c r="E111" s="176">
        <v>0.11314731079675533</v>
      </c>
      <c r="F111" s="179">
        <v>0.12174077431657238</v>
      </c>
      <c r="G111" s="178">
        <v>0.13011219211596514</v>
      </c>
      <c r="H111" s="178">
        <v>0.13827465390142035</v>
      </c>
      <c r="I111" s="176">
        <v>0.14624008199475913</v>
      </c>
    </row>
    <row r="112" spans="1:9" s="1" customFormat="1" ht="17.100000000000001" customHeight="1">
      <c r="B112" s="209"/>
      <c r="C112" s="144">
        <v>5.8000000000000003E-2</v>
      </c>
      <c r="D112" s="180">
        <v>9.1001854661977521E-2</v>
      </c>
      <c r="E112" s="180">
        <v>9.9982050078065043E-2</v>
      </c>
      <c r="F112" s="181">
        <v>0.10871474478597487</v>
      </c>
      <c r="G112" s="181">
        <v>0.11721545868359828</v>
      </c>
      <c r="H112" s="181">
        <v>0.12549824219773975</v>
      </c>
      <c r="I112" s="182">
        <v>0.13357585925585713</v>
      </c>
    </row>
    <row r="113" spans="2:14" s="1" customFormat="1" ht="17.100000000000001" customHeight="1"/>
    <row r="114" spans="2:14" s="1" customFormat="1" ht="17.100000000000001" customHeight="1"/>
    <row r="115" spans="2:14" s="1" customFormat="1" ht="17.100000000000001" customHeight="1">
      <c r="B115" s="2" t="s">
        <v>127</v>
      </c>
      <c r="C115" s="2" t="s">
        <v>124</v>
      </c>
    </row>
    <row r="116" spans="2:14" s="1" customFormat="1" ht="17.100000000000001" customHeight="1">
      <c r="B116" s="204" t="s">
        <v>125</v>
      </c>
      <c r="C116" s="198" t="s">
        <v>128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200"/>
    </row>
    <row r="117" spans="2:14" s="1" customFormat="1" ht="17.100000000000001" customHeight="1">
      <c r="B117" s="205"/>
      <c r="C117" s="145">
        <f>IRR(E63:J63)</f>
        <v>0.16283089310314458</v>
      </c>
      <c r="D117" s="146">
        <v>0</v>
      </c>
      <c r="E117" s="146">
        <v>0.01</v>
      </c>
      <c r="F117" s="146">
        <v>0.02</v>
      </c>
      <c r="G117" s="146">
        <v>0.03</v>
      </c>
      <c r="H117" s="146">
        <v>0.04</v>
      </c>
      <c r="I117" s="146">
        <v>0.05</v>
      </c>
      <c r="J117" s="146">
        <v>0.06</v>
      </c>
      <c r="K117" s="146">
        <v>7.0000000000000007E-2</v>
      </c>
      <c r="L117" s="146">
        <v>0.08</v>
      </c>
      <c r="M117" s="146">
        <v>0.09</v>
      </c>
      <c r="N117" s="146">
        <v>0.1</v>
      </c>
    </row>
    <row r="118" spans="2:14" s="1" customFormat="1" ht="17.100000000000001" customHeight="1">
      <c r="B118" s="205"/>
      <c r="C118" s="146">
        <v>3.5999999999999997E-2</v>
      </c>
      <c r="D118" s="147">
        <f t="dataTable" ref="D118:N127" dt2D="1" dtr="1" r1="H25" r2="C31" ca="1"/>
        <v>0.27669534006280849</v>
      </c>
      <c r="E118" s="147">
        <v>0.27669534006280849</v>
      </c>
      <c r="F118" s="147">
        <v>0.27669534006280849</v>
      </c>
      <c r="G118" s="147">
        <v>0.27669534006280849</v>
      </c>
      <c r="H118" s="147">
        <v>0.27669534006280849</v>
      </c>
      <c r="I118" s="148">
        <v>0.27669534006280849</v>
      </c>
      <c r="J118" s="147">
        <v>0.27669534006280849</v>
      </c>
      <c r="K118" s="147">
        <v>0.27669534006280849</v>
      </c>
      <c r="L118" s="148">
        <v>0.27669534006280849</v>
      </c>
      <c r="M118" s="147">
        <v>0.27669534006280849</v>
      </c>
      <c r="N118" s="148">
        <v>0.27669534006280849</v>
      </c>
    </row>
    <row r="119" spans="2:14" s="1" customFormat="1" ht="17.100000000000001" customHeight="1">
      <c r="B119" s="205"/>
      <c r="C119" s="146">
        <v>3.7999999999999999E-2</v>
      </c>
      <c r="D119" s="149">
        <v>0.25828853092618065</v>
      </c>
      <c r="E119" s="150">
        <v>0.25828853092618065</v>
      </c>
      <c r="F119" s="149">
        <v>0.25828853092618065</v>
      </c>
      <c r="G119" s="150">
        <v>0.25828853092618065</v>
      </c>
      <c r="H119" s="149">
        <v>0.25828853092618065</v>
      </c>
      <c r="I119" s="149">
        <v>0.25828853092618065</v>
      </c>
      <c r="J119" s="150">
        <v>0.25828853092618065</v>
      </c>
      <c r="K119" s="150">
        <v>0.25828853092618065</v>
      </c>
      <c r="L119" s="151">
        <v>0.25828853092618065</v>
      </c>
      <c r="M119" s="150">
        <v>0.25828853092618065</v>
      </c>
      <c r="N119" s="151">
        <v>0.25828853092618065</v>
      </c>
    </row>
    <row r="120" spans="2:14" s="1" customFormat="1" ht="17.100000000000001" customHeight="1">
      <c r="B120" s="205"/>
      <c r="C120" s="152">
        <v>0.04</v>
      </c>
      <c r="D120" s="149">
        <v>0.24073892929471707</v>
      </c>
      <c r="E120" s="153">
        <v>0.24073892929471707</v>
      </c>
      <c r="F120" s="157">
        <v>0.24073892929471707</v>
      </c>
      <c r="G120" s="158">
        <v>0.24073892929471707</v>
      </c>
      <c r="H120" s="159">
        <v>0.24073892929471707</v>
      </c>
      <c r="I120" s="160">
        <v>0.24073892929471707</v>
      </c>
      <c r="J120" s="161">
        <v>0.24073892929471707</v>
      </c>
      <c r="K120" s="150">
        <v>0.24073892929471707</v>
      </c>
      <c r="L120" s="149">
        <v>0.24073892929471707</v>
      </c>
      <c r="M120" s="151">
        <v>0.24073892929471707</v>
      </c>
      <c r="N120" s="149">
        <v>0.24073892929471707</v>
      </c>
    </row>
    <row r="121" spans="2:14" s="1" customFormat="1" ht="17.100000000000001" customHeight="1">
      <c r="B121" s="205"/>
      <c r="C121" s="152">
        <v>4.2000000000000003E-2</v>
      </c>
      <c r="D121" s="150">
        <v>0.22394763703247422</v>
      </c>
      <c r="E121" s="150">
        <v>0.22394763703247422</v>
      </c>
      <c r="F121" s="162">
        <v>0.22394763703247422</v>
      </c>
      <c r="G121" s="160">
        <v>0.22394763703247422</v>
      </c>
      <c r="H121" s="160">
        <v>0.22394763703247422</v>
      </c>
      <c r="I121" s="161">
        <v>0.22394763703247422</v>
      </c>
      <c r="J121" s="159">
        <v>0.22394763703247422</v>
      </c>
      <c r="K121" s="151">
        <v>0.22394763703247422</v>
      </c>
      <c r="L121" s="150">
        <v>0.22394763703247422</v>
      </c>
      <c r="M121" s="150">
        <v>0.22394763703247422</v>
      </c>
      <c r="N121" s="150">
        <v>0.22394763703247422</v>
      </c>
    </row>
    <row r="122" spans="2:14" s="1" customFormat="1" ht="17.100000000000001" customHeight="1">
      <c r="B122" s="205"/>
      <c r="C122" s="146">
        <v>4.3999999999999997E-2</v>
      </c>
      <c r="D122" s="151">
        <v>0.20782990761781184</v>
      </c>
      <c r="E122" s="151">
        <v>0.20782990761781184</v>
      </c>
      <c r="F122" s="161">
        <v>0.20782990761781184</v>
      </c>
      <c r="G122" s="160">
        <v>0.20782990761781184</v>
      </c>
      <c r="H122" s="159">
        <v>0.20782990761781184</v>
      </c>
      <c r="I122" s="160">
        <v>0.20782990761781184</v>
      </c>
      <c r="J122" s="159">
        <v>0.20782990761781184</v>
      </c>
      <c r="K122" s="150">
        <v>0.20782990761781184</v>
      </c>
      <c r="L122" s="151">
        <v>0.20782990761781184</v>
      </c>
      <c r="M122" s="151">
        <v>0.20782990761781184</v>
      </c>
      <c r="N122" s="150">
        <v>0.20782990761781184</v>
      </c>
    </row>
    <row r="123" spans="2:14" s="1" customFormat="1" ht="17.100000000000001" customHeight="1">
      <c r="B123" s="205"/>
      <c r="C123" s="146">
        <v>4.5999999999999999E-2</v>
      </c>
      <c r="D123" s="183">
        <v>0.19231248204738494</v>
      </c>
      <c r="E123" s="183">
        <v>0.19231248204738494</v>
      </c>
      <c r="F123" s="183">
        <v>0.19231248204738494</v>
      </c>
      <c r="G123" s="183">
        <v>0.19231248204738494</v>
      </c>
      <c r="H123" s="183">
        <v>0.19231248204738494</v>
      </c>
      <c r="I123" s="183">
        <v>0.19231248204738494</v>
      </c>
      <c r="J123" s="184">
        <v>0.19231248204738494</v>
      </c>
      <c r="K123" s="183">
        <v>0.19231248204738494</v>
      </c>
      <c r="L123" s="184">
        <v>0.19231248204738494</v>
      </c>
      <c r="M123" s="183">
        <v>0.19231248204738494</v>
      </c>
      <c r="N123" s="183">
        <v>0.19231248204738494</v>
      </c>
    </row>
    <row r="124" spans="2:14" s="1" customFormat="1" ht="17.100000000000001" customHeight="1">
      <c r="B124" s="205"/>
      <c r="C124" s="152">
        <v>4.8000000000000001E-2</v>
      </c>
      <c r="D124" s="185">
        <v>0.17733150775957007</v>
      </c>
      <c r="E124" s="183">
        <v>0.17733150775957007</v>
      </c>
      <c r="F124" s="183">
        <v>0.17733150775957007</v>
      </c>
      <c r="G124" s="183">
        <v>0.17733150775957007</v>
      </c>
      <c r="H124" s="185">
        <v>0.17733150775957007</v>
      </c>
      <c r="I124" s="185">
        <v>0.17733150775957007</v>
      </c>
      <c r="J124" s="183">
        <v>0.17733150775957007</v>
      </c>
      <c r="K124" s="186">
        <v>0.17733150775957007</v>
      </c>
      <c r="L124" s="184">
        <v>0.17733150775957007</v>
      </c>
      <c r="M124" s="186">
        <v>0.17733150775957007</v>
      </c>
      <c r="N124" s="183">
        <v>0.17733150775957007</v>
      </c>
    </row>
    <row r="125" spans="2:14" s="1" customFormat="1" ht="17.100000000000001" customHeight="1">
      <c r="B125" s="205"/>
      <c r="C125" s="152">
        <v>0.05</v>
      </c>
      <c r="D125" s="183">
        <v>0.16283089310314458</v>
      </c>
      <c r="E125" s="186">
        <v>0.16283089310314458</v>
      </c>
      <c r="F125" s="185">
        <v>0.16283089310314458</v>
      </c>
      <c r="G125" s="183">
        <v>0.16283089310314458</v>
      </c>
      <c r="H125" s="183">
        <v>0.16283089310314458</v>
      </c>
      <c r="I125" s="183">
        <v>0.16283089310314458</v>
      </c>
      <c r="J125" s="183">
        <v>0.16283089310314458</v>
      </c>
      <c r="K125" s="185">
        <v>0.16283089310314458</v>
      </c>
      <c r="L125" s="184">
        <v>0.16283089310314458</v>
      </c>
      <c r="M125" s="183">
        <v>0.16283089310314458</v>
      </c>
      <c r="N125" s="185">
        <v>0.16283089310314458</v>
      </c>
    </row>
    <row r="126" spans="2:14" s="1" customFormat="1" ht="17.100000000000001" customHeight="1">
      <c r="B126" s="205"/>
      <c r="C126" s="146">
        <v>5.1999999999999998E-2</v>
      </c>
      <c r="D126" s="183">
        <v>0.14876099129626175</v>
      </c>
      <c r="E126" s="185">
        <v>0.14876099129626175</v>
      </c>
      <c r="F126" s="183">
        <v>0.14876099129626175</v>
      </c>
      <c r="G126" s="186">
        <v>0.14876099129626175</v>
      </c>
      <c r="H126" s="183">
        <v>0.14876099129626175</v>
      </c>
      <c r="I126" s="186">
        <v>0.14876099129626175</v>
      </c>
      <c r="J126" s="183">
        <v>0.14876099129626175</v>
      </c>
      <c r="K126" s="183">
        <v>0.14876099129626175</v>
      </c>
      <c r="L126" s="184">
        <v>0.14876099129626175</v>
      </c>
      <c r="M126" s="185">
        <v>0.14876099129626175</v>
      </c>
      <c r="N126" s="183">
        <v>0.14876099129626175</v>
      </c>
    </row>
    <row r="127" spans="2:14" s="1" customFormat="1" ht="17.100000000000001" customHeight="1">
      <c r="B127" s="206"/>
      <c r="C127" s="146">
        <v>5.3999999999999999E-2</v>
      </c>
      <c r="D127" s="187">
        <v>0.13507753644822063</v>
      </c>
      <c r="E127" s="188">
        <v>0.13507753644822063</v>
      </c>
      <c r="F127" s="187">
        <v>0.13507753644822063</v>
      </c>
      <c r="G127" s="187">
        <v>0.13507753644822063</v>
      </c>
      <c r="H127" s="187">
        <v>0.13507753644822063</v>
      </c>
      <c r="I127" s="187">
        <v>0.13507753644822063</v>
      </c>
      <c r="J127" s="187">
        <v>0.13507753644822063</v>
      </c>
      <c r="K127" s="188">
        <v>0.13507753644822063</v>
      </c>
      <c r="L127" s="188">
        <v>0.13507753644822063</v>
      </c>
      <c r="M127" s="188">
        <v>0.13507753644822063</v>
      </c>
      <c r="N127" s="187">
        <v>0.13507753644822063</v>
      </c>
    </row>
    <row r="128" spans="2:14" s="1" customFormat="1"/>
    <row r="129" spans="2:14" s="1" customFormat="1"/>
    <row r="130" spans="2:14" s="1" customFormat="1">
      <c r="B130" s="2" t="s">
        <v>129</v>
      </c>
      <c r="C130" s="2" t="s">
        <v>124</v>
      </c>
    </row>
    <row r="131" spans="2:14" s="1" customFormat="1" ht="17.45" customHeight="1">
      <c r="B131" s="203" t="s">
        <v>130</v>
      </c>
      <c r="C131" s="197" t="s">
        <v>128</v>
      </c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</row>
    <row r="132" spans="2:14" s="1" customFormat="1">
      <c r="B132" s="203"/>
      <c r="C132" s="145">
        <f>AVERAGE(C93:G93)</f>
        <v>9.1689898096891848E-2</v>
      </c>
      <c r="D132" s="146">
        <v>0</v>
      </c>
      <c r="E132" s="146">
        <v>0.01</v>
      </c>
      <c r="F132" s="146">
        <v>0.02</v>
      </c>
      <c r="G132" s="146">
        <v>0.03</v>
      </c>
      <c r="H132" s="146">
        <v>0.04</v>
      </c>
      <c r="I132" s="146">
        <v>0.05</v>
      </c>
      <c r="J132" s="146">
        <v>0.06</v>
      </c>
      <c r="K132" s="146">
        <v>7.0000000000000007E-2</v>
      </c>
      <c r="L132" s="146">
        <v>0.08</v>
      </c>
      <c r="M132" s="146">
        <v>0.09</v>
      </c>
      <c r="N132" s="146">
        <v>0.1</v>
      </c>
    </row>
    <row r="133" spans="2:14" s="1" customFormat="1">
      <c r="B133" s="203"/>
      <c r="C133" s="154">
        <v>3.3300000000000003E-2</v>
      </c>
      <c r="D133" s="155">
        <f t="dataTable" ref="D133:N133" dt2D="1" dtr="1" r1="H25" r2="H93" ca="1"/>
        <v>9.1689898096891848E-2</v>
      </c>
      <c r="E133" s="155">
        <v>9.1689898096891848E-2</v>
      </c>
      <c r="F133" s="155">
        <v>9.1689898096891848E-2</v>
      </c>
      <c r="G133" s="155">
        <v>9.1689898096891848E-2</v>
      </c>
      <c r="H133" s="155">
        <v>9.1689898096891848E-2</v>
      </c>
      <c r="I133" s="155">
        <v>9.1689898096891848E-2</v>
      </c>
      <c r="J133" s="155">
        <v>9.1689898096891848E-2</v>
      </c>
      <c r="K133" s="155">
        <v>9.1689898096891848E-2</v>
      </c>
      <c r="L133" s="155">
        <v>9.1689898096891848E-2</v>
      </c>
      <c r="M133" s="155">
        <v>9.1689898096891848E-2</v>
      </c>
      <c r="N133" s="155">
        <v>9.1689898096891848E-2</v>
      </c>
    </row>
    <row r="134" spans="2:14" s="1" customFormat="1"/>
    <row r="135" spans="2:14" s="1" customFormat="1"/>
    <row r="136" spans="2:14" s="1" customFormat="1"/>
    <row r="137" spans="2:14" s="1" customFormat="1"/>
    <row r="138" spans="2:14" s="1" customFormat="1"/>
    <row r="139" spans="2:14" s="1" customFormat="1"/>
    <row r="140" spans="2:14" s="1" customFormat="1"/>
    <row r="141" spans="2:14" s="1" customFormat="1"/>
    <row r="142" spans="2:14" s="1" customFormat="1"/>
    <row r="143" spans="2:14" s="1" customFormat="1"/>
    <row r="144" spans="2:1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</sheetData>
  <mergeCells count="6">
    <mergeCell ref="B71:E71"/>
    <mergeCell ref="F71:I71"/>
    <mergeCell ref="B131:B133"/>
    <mergeCell ref="B116:B127"/>
    <mergeCell ref="B102:B112"/>
    <mergeCell ref="C102:I10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54da75-e10c-47b3-8a66-f0e84ab270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C9A3572405B24FB0605903899988F3" ma:contentTypeVersion="6" ma:contentTypeDescription="새 문서를 만듭니다." ma:contentTypeScope="" ma:versionID="59d5d144b58df3d29daf8b1a398a4468">
  <xsd:schema xmlns:xsd="http://www.w3.org/2001/XMLSchema" xmlns:xs="http://www.w3.org/2001/XMLSchema" xmlns:p="http://schemas.microsoft.com/office/2006/metadata/properties" xmlns:ns3="7254da75-e10c-47b3-8a66-f0e84ab270c8" targetNamespace="http://schemas.microsoft.com/office/2006/metadata/properties" ma:root="true" ma:fieldsID="721f7c4b3c66dc0c5a90d3b324165236" ns3:_="">
    <xsd:import namespace="7254da75-e10c-47b3-8a66-f0e84ab270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4da75-e10c-47b3-8a66-f0e84ab27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A39C46-377B-4322-86BC-277E1FD65682}"/>
</file>

<file path=customXml/itemProps2.xml><?xml version="1.0" encoding="utf-8"?>
<ds:datastoreItem xmlns:ds="http://schemas.openxmlformats.org/officeDocument/2006/customXml" ds:itemID="{4FF66550-A8C7-4456-847E-982B98396B1F}"/>
</file>

<file path=customXml/itemProps3.xml><?xml version="1.0" encoding="utf-8"?>
<ds:datastoreItem xmlns:ds="http://schemas.openxmlformats.org/officeDocument/2006/customXml" ds:itemID="{B00B6A7F-0701-42C2-B8C7-B3C7E6076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/>
  <cp:revision/>
  <dcterms:created xsi:type="dcterms:W3CDTF">2023-08-28T06:03:16Z</dcterms:created>
  <dcterms:modified xsi:type="dcterms:W3CDTF">2025-06-03T12:13:56Z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0x010100CDC9A3572405B24FB0605903899988F3</vt:lpwstr>
  </property>
</Properties>
</file>