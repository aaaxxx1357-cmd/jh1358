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32190798\Downloads\"/>
    </mc:Choice>
  </mc:AlternateContent>
  <xr:revisionPtr revIDLastSave="0" documentId="13_ncr:1_{F96E6FFB-1B1B-435D-8170-F5D5300CE0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1bJ0g+nR7raYFUWDzmzZUiSwZx1Ej110q5HU3DhxCmI="/>
    </ext>
  </extLst>
</workbook>
</file>

<file path=xl/calcChain.xml><?xml version="1.0" encoding="utf-8"?>
<calcChain xmlns="http://schemas.openxmlformats.org/spreadsheetml/2006/main">
  <c r="J26" i="1" l="1"/>
  <c r="D49" i="1"/>
  <c r="S43" i="1"/>
  <c r="S42" i="1"/>
  <c r="D41" i="1" s="1"/>
  <c r="E41" i="1" s="1"/>
  <c r="F41" i="1" s="1"/>
  <c r="G41" i="1" s="1"/>
  <c r="H41" i="1" s="1"/>
  <c r="I41" i="1" s="1"/>
  <c r="J41" i="1" s="1"/>
  <c r="K41" i="1" s="1"/>
  <c r="D39" i="1"/>
  <c r="S38" i="1"/>
  <c r="E38" i="1"/>
  <c r="F38" i="1" s="1"/>
  <c r="G38" i="1" s="1"/>
  <c r="H38" i="1" s="1"/>
  <c r="I38" i="1" s="1"/>
  <c r="J38" i="1" s="1"/>
  <c r="K38" i="1" s="1"/>
  <c r="P37" i="1"/>
  <c r="R37" i="1" s="1"/>
  <c r="S37" i="1" s="1"/>
  <c r="D37" i="1"/>
  <c r="E37" i="1" s="1"/>
  <c r="F37" i="1" s="1"/>
  <c r="G37" i="1" s="1"/>
  <c r="H37" i="1" s="1"/>
  <c r="I37" i="1" s="1"/>
  <c r="J37" i="1" s="1"/>
  <c r="K37" i="1" s="1"/>
  <c r="D36" i="1"/>
  <c r="E36" i="1" s="1"/>
  <c r="F36" i="1" s="1"/>
  <c r="G36" i="1" s="1"/>
  <c r="H36" i="1" s="1"/>
  <c r="I36" i="1" s="1"/>
  <c r="J36" i="1" s="1"/>
  <c r="K36" i="1" s="1"/>
  <c r="D35" i="1"/>
  <c r="E35" i="1" s="1"/>
  <c r="F35" i="1" s="1"/>
  <c r="G35" i="1" s="1"/>
  <c r="H35" i="1" s="1"/>
  <c r="I35" i="1" s="1"/>
  <c r="J35" i="1" s="1"/>
  <c r="K35" i="1" s="1"/>
  <c r="D34" i="1"/>
  <c r="E34" i="1" s="1"/>
  <c r="F34" i="1" s="1"/>
  <c r="G34" i="1" s="1"/>
  <c r="H34" i="1" s="1"/>
  <c r="I34" i="1" s="1"/>
  <c r="J34" i="1" s="1"/>
  <c r="K34" i="1" s="1"/>
  <c r="D33" i="1"/>
  <c r="E33" i="1" s="1"/>
  <c r="F33" i="1" s="1"/>
  <c r="G33" i="1" s="1"/>
  <c r="H33" i="1" s="1"/>
  <c r="I33" i="1" s="1"/>
  <c r="J33" i="1" s="1"/>
  <c r="K33" i="1" s="1"/>
  <c r="D32" i="1"/>
  <c r="E32" i="1" s="1"/>
  <c r="P11" i="1"/>
  <c r="O11" i="1"/>
  <c r="Q9" i="1"/>
  <c r="R9" i="1" s="1"/>
  <c r="G9" i="1"/>
  <c r="H9" i="1" s="1"/>
  <c r="I9" i="1" s="1"/>
  <c r="J9" i="1" s="1"/>
  <c r="K9" i="1" s="1"/>
  <c r="F9" i="1"/>
  <c r="E9" i="1"/>
  <c r="Q8" i="1"/>
  <c r="R8" i="1" s="1"/>
  <c r="G8" i="1"/>
  <c r="G14" i="1" s="1"/>
  <c r="D8" i="1"/>
  <c r="E8" i="1" s="1"/>
  <c r="F8" i="1" s="1"/>
  <c r="F14" i="1" s="1"/>
  <c r="Q7" i="1"/>
  <c r="R7" i="1" s="1"/>
  <c r="E7" i="1"/>
  <c r="F7" i="1" s="1"/>
  <c r="G7" i="1" s="1"/>
  <c r="H7" i="1" s="1"/>
  <c r="I7" i="1" s="1"/>
  <c r="J7" i="1" s="1"/>
  <c r="K7" i="1" s="1"/>
  <c r="D7" i="1"/>
  <c r="Q6" i="1"/>
  <c r="R6" i="1" s="1"/>
  <c r="E6" i="1"/>
  <c r="F6" i="1" s="1"/>
  <c r="G6" i="1" s="1"/>
  <c r="H6" i="1" s="1"/>
  <c r="I6" i="1" s="1"/>
  <c r="J6" i="1" s="1"/>
  <c r="K6" i="1" s="1"/>
  <c r="D6" i="1"/>
  <c r="R5" i="1"/>
  <c r="Q5" i="1"/>
  <c r="F5" i="1"/>
  <c r="G5" i="1" s="1"/>
  <c r="H5" i="1" s="1"/>
  <c r="I5" i="1" s="1"/>
  <c r="J5" i="1" s="1"/>
  <c r="K5" i="1" s="1"/>
  <c r="E5" i="1"/>
  <c r="D5" i="1"/>
  <c r="Q4" i="1"/>
  <c r="R4" i="1" s="1"/>
  <c r="G4" i="1"/>
  <c r="H4" i="1" s="1"/>
  <c r="I4" i="1" s="1"/>
  <c r="J4" i="1" s="1"/>
  <c r="K4" i="1" s="1"/>
  <c r="D4" i="1"/>
  <c r="E4" i="1" s="1"/>
  <c r="F4" i="1" s="1"/>
  <c r="D3" i="1"/>
  <c r="E3" i="1" s="1"/>
  <c r="F3" i="1" s="1"/>
  <c r="G3" i="1" s="1"/>
  <c r="D42" i="1" l="1"/>
  <c r="D44" i="1"/>
  <c r="D45" i="1" s="1"/>
  <c r="G10" i="1"/>
  <c r="G13" i="1" s="1"/>
  <c r="H3" i="1"/>
  <c r="R11" i="1"/>
  <c r="E39" i="1"/>
  <c r="E42" i="1" s="1"/>
  <c r="F32" i="1"/>
  <c r="D10" i="1"/>
  <c r="D13" i="1" s="1"/>
  <c r="Q11" i="1"/>
  <c r="D14" i="1"/>
  <c r="E10" i="1"/>
  <c r="E13" i="1" s="1"/>
  <c r="E14" i="1"/>
  <c r="F10" i="1"/>
  <c r="F13" i="1" s="1"/>
  <c r="H8" i="1"/>
  <c r="D46" i="1" l="1"/>
  <c r="D47" i="1" s="1"/>
  <c r="D15" i="1"/>
  <c r="D16" i="1" s="1"/>
  <c r="F39" i="1"/>
  <c r="F42" i="1" s="1"/>
  <c r="G32" i="1"/>
  <c r="F15" i="1"/>
  <c r="F16" i="1" s="1"/>
  <c r="I3" i="1"/>
  <c r="H10" i="1"/>
  <c r="H13" i="1" s="1"/>
  <c r="I8" i="1"/>
  <c r="H14" i="1"/>
  <c r="E15" i="1"/>
  <c r="E16" i="1" s="1"/>
  <c r="G15" i="1"/>
  <c r="G16" i="1" s="1"/>
  <c r="E44" i="1"/>
  <c r="E45" i="1" s="1"/>
  <c r="G17" i="1" l="1"/>
  <c r="G18" i="1" s="1"/>
  <c r="G26" i="1" s="1"/>
  <c r="F17" i="1"/>
  <c r="F18" i="1" s="1"/>
  <c r="F26" i="1" s="1"/>
  <c r="E17" i="1"/>
  <c r="E18" i="1" s="1"/>
  <c r="E26" i="1" s="1"/>
  <c r="E46" i="1"/>
  <c r="E47" i="1" s="1"/>
  <c r="D17" i="1"/>
  <c r="D18" i="1"/>
  <c r="D51" i="1"/>
  <c r="D52" i="1"/>
  <c r="C56" i="1"/>
  <c r="F44" i="1"/>
  <c r="F45" i="1" s="1"/>
  <c r="G39" i="1"/>
  <c r="G42" i="1" s="1"/>
  <c r="H32" i="1"/>
  <c r="I14" i="1"/>
  <c r="J8" i="1"/>
  <c r="H15" i="1"/>
  <c r="H16" i="1"/>
  <c r="J3" i="1"/>
  <c r="I10" i="1"/>
  <c r="I13" i="1" s="1"/>
  <c r="E51" i="1" l="1"/>
  <c r="E52" i="1"/>
  <c r="F46" i="1"/>
  <c r="F47" i="1" s="1"/>
  <c r="G44" i="1"/>
  <c r="G45" i="1" s="1"/>
  <c r="J10" i="1"/>
  <c r="J13" i="1" s="1"/>
  <c r="K3" i="1"/>
  <c r="K10" i="1" s="1"/>
  <c r="K13" i="1" s="1"/>
  <c r="K8" i="1"/>
  <c r="K14" i="1" s="1"/>
  <c r="J14" i="1"/>
  <c r="I15" i="1"/>
  <c r="I16" i="1"/>
  <c r="H17" i="1"/>
  <c r="H18" i="1"/>
  <c r="H26" i="1" s="1"/>
  <c r="D26" i="1"/>
  <c r="C20" i="1"/>
  <c r="H39" i="1"/>
  <c r="H42" i="1" s="1"/>
  <c r="I32" i="1"/>
  <c r="F52" i="1" l="1"/>
  <c r="F51" i="1"/>
  <c r="G46" i="1"/>
  <c r="G47" i="1" s="1"/>
  <c r="J15" i="1"/>
  <c r="J16" i="1"/>
  <c r="I18" i="1"/>
  <c r="I26" i="1" s="1"/>
  <c r="I17" i="1"/>
  <c r="J32" i="1"/>
  <c r="I39" i="1"/>
  <c r="I42" i="1" s="1"/>
  <c r="K15" i="1"/>
  <c r="K16" i="1"/>
  <c r="H44" i="1"/>
  <c r="H45" i="1" s="1"/>
  <c r="H46" i="1" l="1"/>
  <c r="H47" i="1" s="1"/>
  <c r="G51" i="1"/>
  <c r="G52" i="1"/>
  <c r="J17" i="1"/>
  <c r="J18" i="1"/>
  <c r="K17" i="1"/>
  <c r="K18" i="1" s="1"/>
  <c r="C22" i="1" s="1"/>
  <c r="I44" i="1"/>
  <c r="I45" i="1" s="1"/>
  <c r="K32" i="1"/>
  <c r="K39" i="1" s="1"/>
  <c r="K42" i="1" s="1"/>
  <c r="J39" i="1"/>
  <c r="J42" i="1" s="1"/>
  <c r="C23" i="1" l="1"/>
  <c r="C24" i="1" s="1"/>
  <c r="I46" i="1"/>
  <c r="I47" i="1" s="1"/>
  <c r="H52" i="1"/>
  <c r="H51" i="1"/>
  <c r="J44" i="1"/>
  <c r="J45" i="1" s="1"/>
  <c r="K44" i="1"/>
  <c r="K45" i="1" s="1"/>
  <c r="K46" i="1" l="1"/>
  <c r="K47" i="1" s="1"/>
  <c r="C58" i="1" s="1"/>
  <c r="J46" i="1"/>
  <c r="J47" i="1"/>
  <c r="I52" i="1"/>
  <c r="I51" i="1"/>
  <c r="C25" i="1"/>
  <c r="C27" i="1"/>
  <c r="C59" i="1" l="1"/>
  <c r="C60" i="1" s="1"/>
  <c r="J51" i="1"/>
  <c r="C61" i="1" l="1"/>
  <c r="J52" i="1"/>
  <c r="C53" i="1" s="1"/>
</calcChain>
</file>

<file path=xl/sharedStrings.xml><?xml version="1.0" encoding="utf-8"?>
<sst xmlns="http://schemas.openxmlformats.org/spreadsheetml/2006/main" count="118" uniqueCount="81">
  <si>
    <t>현황에 따른 현금흐름</t>
  </si>
  <si>
    <t xml:space="preserve">연차 </t>
  </si>
  <si>
    <t>1열</t>
  </si>
  <si>
    <t>2025/06</t>
  </si>
  <si>
    <t>2026/06</t>
  </si>
  <si>
    <t>2027/06</t>
  </si>
  <si>
    <t>2028/06</t>
  </si>
  <si>
    <t>2029/06</t>
  </si>
  <si>
    <t>2030/06</t>
  </si>
  <si>
    <t>2031/06</t>
  </si>
  <si>
    <t>2032/06</t>
  </si>
  <si>
    <t>2033/06</t>
  </si>
  <si>
    <t>임차 현황</t>
  </si>
  <si>
    <t>가능총임대소득</t>
  </si>
  <si>
    <t>29펍 (B1)</t>
  </si>
  <si>
    <t>층</t>
  </si>
  <si>
    <t>임차인</t>
  </si>
  <si>
    <t>면적(평)</t>
  </si>
  <si>
    <t>평당 임대료</t>
  </si>
  <si>
    <t>총임대료(월)</t>
  </si>
  <si>
    <t>가능총임대소득(년)</t>
  </si>
  <si>
    <t>삼겹살전문 대통령 1F</t>
  </si>
  <si>
    <t>B1</t>
  </si>
  <si>
    <t>29펍</t>
  </si>
  <si>
    <t>박준 뷰티랩 2F</t>
  </si>
  <si>
    <t>삼겹살전문 대통령</t>
  </si>
  <si>
    <t>베네티 3F</t>
  </si>
  <si>
    <t>박준 뷰티랩</t>
  </si>
  <si>
    <t>메먼트 4F</t>
  </si>
  <si>
    <t>베네티</t>
  </si>
  <si>
    <t>공실 5F</t>
  </si>
  <si>
    <t>메먼트</t>
  </si>
  <si>
    <t>옥상 6F (미사용)</t>
  </si>
  <si>
    <t>공실</t>
  </si>
  <si>
    <t>계</t>
  </si>
  <si>
    <t>옥상 (미사용)</t>
  </si>
  <si>
    <t>합계</t>
  </si>
  <si>
    <t>기타소득</t>
  </si>
  <si>
    <t>(옥상 미포함)</t>
  </si>
  <si>
    <t>잠재총소득</t>
  </si>
  <si>
    <t>임대료 손실</t>
  </si>
  <si>
    <t>유효총소득</t>
  </si>
  <si>
    <t>운영비용</t>
  </si>
  <si>
    <t>순운영소득(NOI)</t>
  </si>
  <si>
    <t>매입시점 자본환원률</t>
  </si>
  <si>
    <t>매각시점 자본환원률</t>
  </si>
  <si>
    <t>매각가</t>
  </si>
  <si>
    <t>매각비용</t>
  </si>
  <si>
    <t>순매각소득</t>
  </si>
  <si>
    <t>중개수수료</t>
  </si>
  <si>
    <t>순현가 NPV</t>
  </si>
  <si>
    <t>법률/자문비용</t>
  </si>
  <si>
    <t>현금흐름</t>
  </si>
  <si>
    <t>행정비용</t>
  </si>
  <si>
    <t>IRR</t>
  </si>
  <si>
    <t>개선 후 현금흐름</t>
  </si>
  <si>
    <t xml:space="preserve"> 출처: KOSIS 상권별 소규모 상가 임대가격지수 「상업용부동산임대동향조사」 한국부동산원</t>
  </si>
  <si>
    <t>면적 (평)</t>
  </si>
  <si>
    <t>인테리어비용(평당)</t>
  </si>
  <si>
    <t>총 인테리어 비용</t>
  </si>
  <si>
    <t>TI (21.63%)</t>
  </si>
  <si>
    <t>루프탑 라운지 5F</t>
  </si>
  <si>
    <t>5F, 6F</t>
  </si>
  <si>
    <t xml:space="preserve">루프탑 라운지 6F </t>
  </si>
  <si>
    <t>5층과 6층 총 면적에서 옥상이 차지하는 비율</t>
  </si>
  <si>
    <t>출처: KOSIS 소비자물가변동지수</t>
  </si>
  <si>
    <t>일일판매량(상품갯수)</t>
  </si>
  <si>
    <t>제품당 평균 판매가</t>
  </si>
  <si>
    <t xml:space="preserve">마진율 </t>
  </si>
  <si>
    <t>음료 자판기</t>
  </si>
  <si>
    <t>디저트 자판기</t>
  </si>
  <si>
    <t>출처: KOSIS 월세 연체 경험 및 연체이자 지불 경험, 연체 이자율 「상가건물임대차실태조사」 중소벤처기업부</t>
  </si>
  <si>
    <t>출처: KOSIS 상권별 소규모 상가 순영업소득 「상업용부동산임대동향조사」 한국부동산원</t>
  </si>
  <si>
    <r>
      <rPr>
        <sz val="9"/>
        <color rgb="FF0000FF"/>
        <rFont val="Arial"/>
      </rPr>
      <t xml:space="preserve">출처: </t>
    </r>
    <r>
      <rPr>
        <u/>
        <sz val="11"/>
        <color rgb="FF467886"/>
        <rFont val="Arial"/>
      </rPr>
      <t>한국부동산원-통계산출항목</t>
    </r>
  </si>
  <si>
    <t>공간개선보조(TI)</t>
  </si>
  <si>
    <t>렌트프리</t>
  </si>
  <si>
    <t xml:space="preserve"> TI와 렌트프리는 옥상 면적에 대해 혜택제공</t>
  </si>
  <si>
    <t>순현금흐름</t>
  </si>
  <si>
    <t>순현가 (NPV)</t>
  </si>
  <si>
    <t>자판기 가격</t>
  </si>
  <si>
    <r>
      <rPr>
        <b/>
        <sz val="11"/>
        <color theme="1"/>
        <rFont val="맑은 고딕"/>
        <family val="3"/>
        <charset val="129"/>
      </rPr>
      <t>연간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기타수익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</si>
</sst>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yyyy/mm"/>
    <numFmt numFmtId="177" formatCode="#,##0_);\(#,##0\)"/>
    <numFmt numFmtId="178" formatCode="0.0%"/>
  </numFmts>
  <fonts count="19">
    <font>
      <sz val="11"/>
      <color theme="1"/>
      <name val="Aptos Narrow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Aptos Narrow"/>
      <scheme val="minor"/>
    </font>
    <font>
      <b/>
      <sz val="11"/>
      <color theme="1"/>
      <name val="Arial"/>
    </font>
    <font>
      <sz val="11"/>
      <color theme="1"/>
      <name val="Malgun Gothic"/>
      <family val="3"/>
      <charset val="129"/>
    </font>
    <font>
      <b/>
      <sz val="11"/>
      <color theme="1"/>
      <name val="Aptos Narrow"/>
    </font>
    <font>
      <b/>
      <sz val="11"/>
      <color theme="1"/>
      <name val="Aptos Narrow"/>
      <scheme val="minor"/>
    </font>
    <font>
      <b/>
      <sz val="11"/>
      <color theme="1"/>
      <name val="Malgun Gothic"/>
      <family val="3"/>
      <charset val="129"/>
    </font>
    <font>
      <sz val="9"/>
      <color rgb="FF0000FF"/>
      <name val="Arial"/>
    </font>
    <font>
      <b/>
      <sz val="9"/>
      <color rgb="FF0000FF"/>
      <name val="Arial"/>
    </font>
    <font>
      <sz val="11"/>
      <color rgb="FF000000"/>
      <name val="Arial"/>
    </font>
    <font>
      <u/>
      <sz val="11"/>
      <color rgb="FF0000FF"/>
      <name val="Arial"/>
    </font>
    <font>
      <u/>
      <sz val="11"/>
      <color rgb="FF467886"/>
      <name val="Arial"/>
    </font>
    <font>
      <sz val="8"/>
      <name val="Aptos Narrow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1"/>
      <name val="Arial"/>
      <family val="2"/>
    </font>
    <font>
      <b/>
      <sz val="11"/>
      <color theme="1"/>
      <name val="Arial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theme="0" tint="-0.499984740745262"/>
        <bgColor rgb="FFB7B7B7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356854"/>
      </right>
      <top/>
      <bottom style="thin">
        <color rgb="FF284E3F"/>
      </bottom>
      <diagonal/>
    </border>
    <border>
      <left style="thin">
        <color rgb="FF356854"/>
      </left>
      <right style="thin">
        <color rgb="FF356854"/>
      </right>
      <top/>
      <bottom style="thin">
        <color rgb="FF284E3F"/>
      </bottom>
      <diagonal/>
    </border>
    <border>
      <left style="thin">
        <color rgb="FF356854"/>
      </left>
      <right/>
      <top/>
      <bottom style="thin">
        <color rgb="FF284E3F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6F8F9"/>
      </left>
      <right/>
      <top style="thin">
        <color rgb="FFF6F8F9"/>
      </top>
      <bottom style="thin">
        <color rgb="FFF6F8F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</borders>
  <cellStyleXfs count="1">
    <xf numFmtId="0" fontId="0" fillId="0" borderId="0"/>
  </cellStyleXfs>
  <cellXfs count="71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3" fontId="2" fillId="4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9" fontId="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77" fontId="6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10" fontId="6" fillId="0" borderId="0" xfId="0" applyNumberFormat="1" applyFont="1" applyAlignment="1">
      <alignment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77" fontId="6" fillId="0" borderId="8" xfId="0" applyNumberFormat="1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9" fillId="0" borderId="3" xfId="0" applyNumberFormat="1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0" fontId="6" fillId="0" borderId="11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77" fontId="5" fillId="0" borderId="14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center" vertical="center"/>
    </xf>
    <xf numFmtId="177" fontId="6" fillId="0" borderId="14" xfId="0" applyNumberFormat="1" applyFont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</cellXfs>
  <cellStyles count="1">
    <cellStyle name="표준" xfId="0" builtinId="0"/>
  </cellStyles>
  <dxfs count="3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outline="0">
        <left style="thin">
          <color rgb="FFB7B7B7"/>
        </left>
      </border>
    </dxf>
    <dxf>
      <fill>
        <patternFill patternType="solid">
          <fgColor rgb="FFB7B7B7"/>
          <bgColor theme="0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heet1-style" pivot="0" count="3" xr9:uid="{00000000-0011-0000-FFFF-FFFF00000000}">
      <tableStyleElement type="headerRow" dxfId="35"/>
      <tableStyleElement type="firstRowStripe" dxfId="34"/>
      <tableStyleElement type="secondRowStripe" dxfId="33"/>
    </tableStyle>
    <tableStyle name="Sheet1-style 2" pivot="0" count="3" xr9:uid="{00000000-0011-0000-FFFF-FFFF01000000}">
      <tableStyleElement type="headerRow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2" displayName="표2" ref="A2:K27" headerRowDxfId="29" dataDxfId="28" totalsRowDxfId="26" tableBorderDxfId="27">
  <tableColumns count="11">
    <tableColumn id="1" xr3:uid="{00000000-0010-0000-0000-000001000000}" name="연차 " dataDxfId="25"/>
    <tableColumn id="2" xr3:uid="{00000000-0010-0000-0000-000002000000}" name="1열" dataDxfId="24"/>
    <tableColumn id="3" xr3:uid="{00000000-0010-0000-0000-000003000000}" name="2025/06" dataDxfId="23"/>
    <tableColumn id="4" xr3:uid="{00000000-0010-0000-0000-000004000000}" name="2026/06" dataDxfId="22"/>
    <tableColumn id="5" xr3:uid="{00000000-0010-0000-0000-000005000000}" name="2027/06" dataDxfId="21"/>
    <tableColumn id="6" xr3:uid="{00000000-0010-0000-0000-000006000000}" name="2028/06" dataDxfId="20"/>
    <tableColumn id="7" xr3:uid="{00000000-0010-0000-0000-000007000000}" name="2029/06" dataDxfId="19"/>
    <tableColumn id="8" xr3:uid="{00000000-0010-0000-0000-000008000000}" name="2030/06" dataDxfId="18"/>
    <tableColumn id="9" xr3:uid="{00000000-0010-0000-0000-000009000000}" name="2031/06" dataDxfId="17"/>
    <tableColumn id="10" xr3:uid="{00000000-0010-0000-0000-00000A000000}" name="2032/06" dataDxfId="16"/>
    <tableColumn id="11" xr3:uid="{00000000-0010-0000-0000-00000B000000}" name="2033/06" dataDxfId="15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1" displayName="표1" ref="A31:K63" headerRowDxfId="14" dataDxfId="13" totalsRowDxfId="11" tableBorderDxfId="12">
  <tableColumns count="11">
    <tableColumn id="1" xr3:uid="{00000000-0010-0000-0100-000001000000}" name="연차 " dataDxfId="10"/>
    <tableColumn id="2" xr3:uid="{00000000-0010-0000-0100-000002000000}" name="1열" dataDxfId="9"/>
    <tableColumn id="3" xr3:uid="{00000000-0010-0000-0100-000003000000}" name="2025/06" dataDxfId="8"/>
    <tableColumn id="4" xr3:uid="{00000000-0010-0000-0100-000004000000}" name="2026/06" dataDxfId="7"/>
    <tableColumn id="5" xr3:uid="{00000000-0010-0000-0100-000005000000}" name="2027/06" dataDxfId="6"/>
    <tableColumn id="6" xr3:uid="{00000000-0010-0000-0100-000006000000}" name="2028/06" dataDxfId="5"/>
    <tableColumn id="7" xr3:uid="{00000000-0010-0000-0100-000007000000}" name="2029/06" dataDxfId="4"/>
    <tableColumn id="8" xr3:uid="{00000000-0010-0000-0100-000008000000}" name="2030/06" dataDxfId="3"/>
    <tableColumn id="9" xr3:uid="{00000000-0010-0000-0100-000009000000}" name="2031/06" dataDxfId="2"/>
    <tableColumn id="10" xr3:uid="{00000000-0010-0000-0100-00000A000000}" name="2032/06" dataDxfId="1"/>
    <tableColumn id="11" xr3:uid="{00000000-0010-0000-0100-00000B000000}" name="2033/06" dataDxfId="0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www.reb.or.kr/reb/cm/cntnts/cntntsView.do?mi=9802&amp;cntntsId=10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2"/>
  <sheetViews>
    <sheetView tabSelected="1" zoomScale="71" zoomScaleNormal="71" workbookViewId="0">
      <selection activeCell="P24" sqref="P24"/>
    </sheetView>
  </sheetViews>
  <sheetFormatPr defaultColWidth="12.6640625" defaultRowHeight="15" customHeight="1"/>
  <cols>
    <col min="1" max="1" width="25.5546875" customWidth="1"/>
    <col min="2" max="2" width="23.5546875" customWidth="1"/>
    <col min="3" max="3" width="15.21875" customWidth="1"/>
    <col min="4" max="9" width="12.77734375" customWidth="1"/>
    <col min="10" max="10" width="15.21875" customWidth="1"/>
    <col min="11" max="11" width="15.6640625" customWidth="1"/>
    <col min="12" max="12" width="7.6640625" customWidth="1"/>
    <col min="13" max="13" width="17.77734375" customWidth="1"/>
    <col min="14" max="14" width="19.44140625" customWidth="1"/>
    <col min="15" max="15" width="21.6640625" customWidth="1"/>
    <col min="16" max="16" width="25.6640625" customWidth="1"/>
    <col min="17" max="17" width="20.109375" customWidth="1"/>
    <col min="18" max="18" width="21.33203125" customWidth="1"/>
    <col min="19" max="19" width="15.6640625" customWidth="1"/>
    <col min="20" max="20" width="16.44140625" customWidth="1"/>
    <col min="21" max="21" width="9.109375" customWidth="1"/>
    <col min="22" max="22" width="16" customWidth="1"/>
    <col min="23" max="23" width="11.88671875" customWidth="1"/>
    <col min="24" max="24" width="15.77734375" customWidth="1"/>
    <col min="25" max="26" width="7.6640625" customWidth="1"/>
  </cols>
  <sheetData>
    <row r="1" spans="1:18" ht="16.5" customHeight="1">
      <c r="A1" s="1" t="s">
        <v>0</v>
      </c>
      <c r="C1" s="2"/>
      <c r="D1" s="2"/>
      <c r="E1" s="2"/>
    </row>
    <row r="2" spans="1:18" ht="16.5" customHeight="1">
      <c r="A2" s="31" t="s">
        <v>1</v>
      </c>
      <c r="B2" s="32" t="s">
        <v>2</v>
      </c>
      <c r="C2" s="29" t="s">
        <v>3</v>
      </c>
      <c r="D2" s="29" t="s">
        <v>4</v>
      </c>
      <c r="E2" s="29" t="s">
        <v>5</v>
      </c>
      <c r="F2" s="29" t="s">
        <v>6</v>
      </c>
      <c r="G2" s="29" t="s">
        <v>7</v>
      </c>
      <c r="H2" s="29" t="s">
        <v>8</v>
      </c>
      <c r="I2" s="29" t="s">
        <v>9</v>
      </c>
      <c r="J2" s="29" t="s">
        <v>10</v>
      </c>
      <c r="K2" s="30" t="s">
        <v>11</v>
      </c>
      <c r="M2" s="3" t="s">
        <v>12</v>
      </c>
    </row>
    <row r="3" spans="1:18" ht="16.5" customHeight="1">
      <c r="A3" s="33" t="s">
        <v>13</v>
      </c>
      <c r="B3" s="34" t="s">
        <v>14</v>
      </c>
      <c r="C3" s="35">
        <v>-28000000000</v>
      </c>
      <c r="D3" s="36">
        <f t="shared" ref="D3:D8" si="0">O4*P4*12</f>
        <v>143934984</v>
      </c>
      <c r="E3" s="36">
        <f t="shared" ref="E3:K3" si="1">D3*1.006</f>
        <v>144798593.90400001</v>
      </c>
      <c r="F3" s="36">
        <f t="shared" si="1"/>
        <v>145667385.46742401</v>
      </c>
      <c r="G3" s="36">
        <f t="shared" si="1"/>
        <v>146541389.78022856</v>
      </c>
      <c r="H3" s="36">
        <f t="shared" si="1"/>
        <v>147420638.11890993</v>
      </c>
      <c r="I3" s="36">
        <f t="shared" si="1"/>
        <v>148305161.94762337</v>
      </c>
      <c r="J3" s="36">
        <f t="shared" si="1"/>
        <v>149194992.91930911</v>
      </c>
      <c r="K3" s="37">
        <f t="shared" si="1"/>
        <v>150090162.87682498</v>
      </c>
      <c r="M3" s="3" t="s">
        <v>15</v>
      </c>
      <c r="N3" s="3" t="s">
        <v>16</v>
      </c>
      <c r="O3" s="4" t="s">
        <v>17</v>
      </c>
      <c r="P3" s="4" t="s">
        <v>18</v>
      </c>
      <c r="Q3" s="4" t="s">
        <v>19</v>
      </c>
      <c r="R3" s="5" t="s">
        <v>20</v>
      </c>
    </row>
    <row r="4" spans="1:18" ht="16.5" customHeight="1">
      <c r="A4" s="38"/>
      <c r="B4" s="39" t="s">
        <v>21</v>
      </c>
      <c r="C4" s="40"/>
      <c r="D4" s="41">
        <f t="shared" si="0"/>
        <v>138022020</v>
      </c>
      <c r="E4" s="41">
        <f t="shared" ref="E4:K4" si="2">D4*1.006</f>
        <v>138850152.12</v>
      </c>
      <c r="F4" s="41">
        <f t="shared" si="2"/>
        <v>139683253.03272</v>
      </c>
      <c r="G4" s="41">
        <f t="shared" si="2"/>
        <v>140521352.55091631</v>
      </c>
      <c r="H4" s="41">
        <f t="shared" si="2"/>
        <v>141364480.66622183</v>
      </c>
      <c r="I4" s="41">
        <f t="shared" si="2"/>
        <v>142212667.55021915</v>
      </c>
      <c r="J4" s="41">
        <f t="shared" si="2"/>
        <v>143065943.55552047</v>
      </c>
      <c r="K4" s="42">
        <f t="shared" si="2"/>
        <v>143924339.21685359</v>
      </c>
      <c r="M4" s="3" t="s">
        <v>22</v>
      </c>
      <c r="N4" s="3" t="s">
        <v>23</v>
      </c>
      <c r="O4" s="6">
        <v>109.74</v>
      </c>
      <c r="P4" s="7">
        <v>109300</v>
      </c>
      <c r="Q4" s="8">
        <f t="shared" ref="Q4:Q9" si="3">O4*P4</f>
        <v>11994582</v>
      </c>
      <c r="R4" s="8">
        <f t="shared" ref="R4:R9" si="4">Q4*12</f>
        <v>143934984</v>
      </c>
    </row>
    <row r="5" spans="1:18" ht="16.5" customHeight="1">
      <c r="A5" s="38"/>
      <c r="B5" s="34" t="s">
        <v>24</v>
      </c>
      <c r="C5" s="36"/>
      <c r="D5" s="36">
        <f t="shared" si="0"/>
        <v>144004800</v>
      </c>
      <c r="E5" s="36">
        <f t="shared" ref="E5:K5" si="5">D5*1.006</f>
        <v>144868828.80000001</v>
      </c>
      <c r="F5" s="36">
        <f t="shared" si="5"/>
        <v>145738041.7728</v>
      </c>
      <c r="G5" s="36">
        <f t="shared" si="5"/>
        <v>146612470.02343678</v>
      </c>
      <c r="H5" s="36">
        <f t="shared" si="5"/>
        <v>147492144.84357741</v>
      </c>
      <c r="I5" s="36">
        <f t="shared" si="5"/>
        <v>148377097.71263888</v>
      </c>
      <c r="J5" s="36">
        <f t="shared" si="5"/>
        <v>149267360.29891473</v>
      </c>
      <c r="K5" s="37">
        <f t="shared" si="5"/>
        <v>150162964.46070823</v>
      </c>
      <c r="M5" s="3">
        <v>1</v>
      </c>
      <c r="N5" s="3" t="s">
        <v>25</v>
      </c>
      <c r="O5" s="6">
        <v>55.97</v>
      </c>
      <c r="P5" s="7">
        <v>205500</v>
      </c>
      <c r="Q5" s="8">
        <f t="shared" si="3"/>
        <v>11501835</v>
      </c>
      <c r="R5" s="8">
        <f t="shared" si="4"/>
        <v>138022020</v>
      </c>
    </row>
    <row r="6" spans="1:18" ht="16.5" customHeight="1">
      <c r="A6" s="38"/>
      <c r="B6" s="39" t="s">
        <v>26</v>
      </c>
      <c r="C6" s="41"/>
      <c r="D6" s="41">
        <f t="shared" si="0"/>
        <v>131966400</v>
      </c>
      <c r="E6" s="41">
        <f t="shared" ref="E6:K6" si="6">D6*1.006</f>
        <v>132758198.40000001</v>
      </c>
      <c r="F6" s="41">
        <f t="shared" si="6"/>
        <v>133554747.59040001</v>
      </c>
      <c r="G6" s="41">
        <f t="shared" si="6"/>
        <v>134356076.0759424</v>
      </c>
      <c r="H6" s="41">
        <f t="shared" si="6"/>
        <v>135162212.53239805</v>
      </c>
      <c r="I6" s="41">
        <f t="shared" si="6"/>
        <v>135973185.80759242</v>
      </c>
      <c r="J6" s="41">
        <f t="shared" si="6"/>
        <v>136789024.92243797</v>
      </c>
      <c r="K6" s="42">
        <f t="shared" si="6"/>
        <v>137609759.07197261</v>
      </c>
      <c r="M6" s="3">
        <v>2</v>
      </c>
      <c r="N6" s="3" t="s">
        <v>27</v>
      </c>
      <c r="O6" s="6">
        <v>76</v>
      </c>
      <c r="P6" s="7">
        <v>157900</v>
      </c>
      <c r="Q6" s="8">
        <f t="shared" si="3"/>
        <v>12000400</v>
      </c>
      <c r="R6" s="8">
        <f t="shared" si="4"/>
        <v>144004800</v>
      </c>
    </row>
    <row r="7" spans="1:18" ht="16.5" customHeight="1">
      <c r="A7" s="38"/>
      <c r="B7" s="34" t="s">
        <v>28</v>
      </c>
      <c r="C7" s="36"/>
      <c r="D7" s="36">
        <f t="shared" si="0"/>
        <v>107980800</v>
      </c>
      <c r="E7" s="36">
        <f t="shared" ref="E7:K7" si="7">D7*1.006</f>
        <v>108628684.8</v>
      </c>
      <c r="F7" s="36">
        <f t="shared" si="7"/>
        <v>109280456.90879999</v>
      </c>
      <c r="G7" s="36">
        <f t="shared" si="7"/>
        <v>109936139.65025279</v>
      </c>
      <c r="H7" s="36">
        <f t="shared" si="7"/>
        <v>110595756.48815431</v>
      </c>
      <c r="I7" s="36">
        <f t="shared" si="7"/>
        <v>111259331.02708323</v>
      </c>
      <c r="J7" s="36">
        <f t="shared" si="7"/>
        <v>111926887.01324573</v>
      </c>
      <c r="K7" s="37">
        <f t="shared" si="7"/>
        <v>112598448.33532521</v>
      </c>
      <c r="M7" s="3">
        <v>3</v>
      </c>
      <c r="N7" s="3" t="s">
        <v>29</v>
      </c>
      <c r="O7" s="6">
        <v>76</v>
      </c>
      <c r="P7" s="7">
        <v>144700</v>
      </c>
      <c r="Q7" s="8">
        <f t="shared" si="3"/>
        <v>10997200</v>
      </c>
      <c r="R7" s="8">
        <f t="shared" si="4"/>
        <v>131966400</v>
      </c>
    </row>
    <row r="8" spans="1:18" ht="16.5" customHeight="1">
      <c r="A8" s="38"/>
      <c r="B8" s="39" t="s">
        <v>30</v>
      </c>
      <c r="C8" s="41"/>
      <c r="D8" s="41">
        <f t="shared" si="0"/>
        <v>113159424</v>
      </c>
      <c r="E8" s="41">
        <f t="shared" ref="E8:K8" si="8">D8*1.006</f>
        <v>113838380.544</v>
      </c>
      <c r="F8" s="41">
        <f t="shared" si="8"/>
        <v>114521410.827264</v>
      </c>
      <c r="G8" s="41">
        <f t="shared" si="8"/>
        <v>115208539.29222758</v>
      </c>
      <c r="H8" s="41">
        <f t="shared" si="8"/>
        <v>115899790.52798095</v>
      </c>
      <c r="I8" s="41">
        <f t="shared" si="8"/>
        <v>116595189.27114885</v>
      </c>
      <c r="J8" s="41">
        <f t="shared" si="8"/>
        <v>117294760.40677574</v>
      </c>
      <c r="K8" s="42">
        <f t="shared" si="8"/>
        <v>117998528.96921639</v>
      </c>
      <c r="M8" s="3">
        <v>4</v>
      </c>
      <c r="N8" s="3" t="s">
        <v>31</v>
      </c>
      <c r="O8" s="6">
        <v>76</v>
      </c>
      <c r="P8" s="7">
        <v>118400</v>
      </c>
      <c r="Q8" s="8">
        <f t="shared" si="3"/>
        <v>8998400</v>
      </c>
      <c r="R8" s="8">
        <f t="shared" si="4"/>
        <v>107980800</v>
      </c>
    </row>
    <row r="9" spans="1:18" ht="16.5" customHeight="1">
      <c r="A9" s="38"/>
      <c r="B9" s="34" t="s">
        <v>32</v>
      </c>
      <c r="C9" s="36"/>
      <c r="D9" s="36">
        <v>0</v>
      </c>
      <c r="E9" s="36">
        <f t="shared" ref="E9:J9" si="9">D9*1.02</f>
        <v>0</v>
      </c>
      <c r="F9" s="36">
        <f t="shared" si="9"/>
        <v>0</v>
      </c>
      <c r="G9" s="36">
        <f t="shared" si="9"/>
        <v>0</v>
      </c>
      <c r="H9" s="36">
        <f t="shared" si="9"/>
        <v>0</v>
      </c>
      <c r="I9" s="36">
        <f t="shared" si="9"/>
        <v>0</v>
      </c>
      <c r="J9" s="36">
        <f t="shared" si="9"/>
        <v>0</v>
      </c>
      <c r="K9" s="37">
        <f>J9*1.006</f>
        <v>0</v>
      </c>
      <c r="M9" s="3">
        <v>5</v>
      </c>
      <c r="N9" s="3" t="s">
        <v>33</v>
      </c>
      <c r="O9" s="6">
        <v>69.44</v>
      </c>
      <c r="P9" s="9">
        <v>135800</v>
      </c>
      <c r="Q9" s="10">
        <f t="shared" si="3"/>
        <v>9429952</v>
      </c>
      <c r="R9" s="10">
        <f t="shared" si="4"/>
        <v>113159424</v>
      </c>
    </row>
    <row r="10" spans="1:18" ht="16.5" customHeight="1">
      <c r="A10" s="38"/>
      <c r="B10" s="43" t="s">
        <v>34</v>
      </c>
      <c r="C10" s="41"/>
      <c r="D10" s="41">
        <f>SUM(D3:D9)</f>
        <v>779068428</v>
      </c>
      <c r="E10" s="41">
        <f t="shared" ref="E10:K10" si="10">SUM(E3:E9)</f>
        <v>783742838.56800008</v>
      </c>
      <c r="F10" s="41">
        <f t="shared" si="10"/>
        <v>788445295.59940791</v>
      </c>
      <c r="G10" s="41">
        <f t="shared" si="10"/>
        <v>793175967.37300456</v>
      </c>
      <c r="H10" s="41">
        <f t="shared" si="10"/>
        <v>797935023.17724252</v>
      </c>
      <c r="I10" s="41">
        <f t="shared" si="10"/>
        <v>802722633.31630588</v>
      </c>
      <c r="J10" s="41">
        <f t="shared" si="10"/>
        <v>807538969.11620367</v>
      </c>
      <c r="K10" s="42">
        <f t="shared" si="10"/>
        <v>812384202.93090105</v>
      </c>
      <c r="M10" s="3">
        <v>6</v>
      </c>
      <c r="N10" s="3" t="s">
        <v>35</v>
      </c>
      <c r="O10" s="6">
        <v>19.16</v>
      </c>
      <c r="P10" s="9">
        <v>0</v>
      </c>
      <c r="Q10" s="9">
        <v>0</v>
      </c>
      <c r="R10" s="9">
        <v>0</v>
      </c>
    </row>
    <row r="11" spans="1:18" ht="16.5" customHeight="1">
      <c r="A11" s="38"/>
      <c r="B11" s="36"/>
      <c r="C11" s="36"/>
      <c r="D11" s="36"/>
      <c r="E11" s="36"/>
      <c r="F11" s="36"/>
      <c r="G11" s="36"/>
      <c r="H11" s="36"/>
      <c r="I11" s="36"/>
      <c r="J11" s="36"/>
      <c r="K11" s="40"/>
      <c r="M11" s="11"/>
      <c r="N11" s="3" t="s">
        <v>36</v>
      </c>
      <c r="O11" s="12">
        <f>SUM(O4:O10)</f>
        <v>482.31</v>
      </c>
      <c r="P11" s="8">
        <f>SUM(P4:P9)</f>
        <v>871600</v>
      </c>
      <c r="Q11" s="8">
        <f t="shared" ref="Q11:R11" si="11">SUM(Q4:Q10)</f>
        <v>64922369</v>
      </c>
      <c r="R11" s="8">
        <f t="shared" si="11"/>
        <v>779068428</v>
      </c>
    </row>
    <row r="12" spans="1:18" ht="16.5" customHeight="1">
      <c r="A12" s="33" t="s">
        <v>37</v>
      </c>
      <c r="B12" s="41"/>
      <c r="C12" s="41"/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2">
        <v>0</v>
      </c>
      <c r="M12" s="11"/>
      <c r="N12" s="12"/>
      <c r="O12" s="12"/>
      <c r="P12" s="3" t="s">
        <v>38</v>
      </c>
      <c r="Q12" s="12"/>
      <c r="R12" s="12"/>
    </row>
    <row r="13" spans="1:18" ht="16.5" customHeight="1">
      <c r="A13" s="33" t="s">
        <v>39</v>
      </c>
      <c r="B13" s="36"/>
      <c r="C13" s="36"/>
      <c r="D13" s="36">
        <f t="shared" ref="D13:K13" si="12">D10+D12</f>
        <v>779068428</v>
      </c>
      <c r="E13" s="36">
        <f t="shared" si="12"/>
        <v>783742838.56800008</v>
      </c>
      <c r="F13" s="36">
        <f t="shared" si="12"/>
        <v>788445295.59940791</v>
      </c>
      <c r="G13" s="36">
        <f t="shared" si="12"/>
        <v>793175967.37300456</v>
      </c>
      <c r="H13" s="36">
        <f t="shared" si="12"/>
        <v>797935023.17724252</v>
      </c>
      <c r="I13" s="36">
        <f t="shared" si="12"/>
        <v>802722633.31630588</v>
      </c>
      <c r="J13" s="36">
        <f t="shared" si="12"/>
        <v>807538969.11620367</v>
      </c>
      <c r="K13" s="37">
        <f t="shared" si="12"/>
        <v>812384202.93090105</v>
      </c>
      <c r="P13" s="2"/>
    </row>
    <row r="14" spans="1:18" ht="16.5" customHeight="1">
      <c r="A14" s="33" t="s">
        <v>33</v>
      </c>
      <c r="B14" s="41"/>
      <c r="C14" s="41"/>
      <c r="D14" s="41">
        <f t="shared" ref="D14:K14" si="13">D8</f>
        <v>113159424</v>
      </c>
      <c r="E14" s="41">
        <f t="shared" si="13"/>
        <v>113838380.544</v>
      </c>
      <c r="F14" s="41">
        <f t="shared" si="13"/>
        <v>114521410.827264</v>
      </c>
      <c r="G14" s="41">
        <f t="shared" si="13"/>
        <v>115208539.29222758</v>
      </c>
      <c r="H14" s="41">
        <f t="shared" si="13"/>
        <v>115899790.52798095</v>
      </c>
      <c r="I14" s="41">
        <f t="shared" si="13"/>
        <v>116595189.27114885</v>
      </c>
      <c r="J14" s="41">
        <f t="shared" si="13"/>
        <v>117294760.40677574</v>
      </c>
      <c r="K14" s="42">
        <f t="shared" si="13"/>
        <v>117998528.96921639</v>
      </c>
    </row>
    <row r="15" spans="1:18" ht="16.5" customHeight="1">
      <c r="A15" s="33" t="s">
        <v>40</v>
      </c>
      <c r="B15" s="36"/>
      <c r="C15" s="36"/>
      <c r="D15" s="36">
        <f t="shared" ref="D15:K15" si="14">(D13-D14)*0.066</f>
        <v>43949994.263999999</v>
      </c>
      <c r="E15" s="36">
        <f t="shared" si="14"/>
        <v>44213694.229584008</v>
      </c>
      <c r="F15" s="36">
        <f t="shared" si="14"/>
        <v>44478976.394961506</v>
      </c>
      <c r="G15" s="36">
        <f t="shared" si="14"/>
        <v>44745850.253331281</v>
      </c>
      <c r="H15" s="36">
        <f t="shared" si="14"/>
        <v>45014325.354851268</v>
      </c>
      <c r="I15" s="36">
        <f t="shared" si="14"/>
        <v>45284411.306980371</v>
      </c>
      <c r="J15" s="36">
        <f t="shared" si="14"/>
        <v>45556117.77482225</v>
      </c>
      <c r="K15" s="37">
        <f t="shared" si="14"/>
        <v>45829454.481471196</v>
      </c>
      <c r="O15" s="2"/>
      <c r="P15" s="2"/>
    </row>
    <row r="16" spans="1:18" ht="16.5" customHeight="1">
      <c r="A16" s="33" t="s">
        <v>41</v>
      </c>
      <c r="B16" s="41"/>
      <c r="C16" s="41"/>
      <c r="D16" s="41">
        <f t="shared" ref="D16:K16" si="15">D13-D14-D15</f>
        <v>621959009.73600006</v>
      </c>
      <c r="E16" s="41">
        <f t="shared" si="15"/>
        <v>625690763.79441607</v>
      </c>
      <c r="F16" s="41">
        <f t="shared" si="15"/>
        <v>629444908.37718248</v>
      </c>
      <c r="G16" s="41">
        <f t="shared" si="15"/>
        <v>633221577.82744563</v>
      </c>
      <c r="H16" s="41">
        <f t="shared" si="15"/>
        <v>637020907.29441035</v>
      </c>
      <c r="I16" s="41">
        <f t="shared" si="15"/>
        <v>640843032.7381767</v>
      </c>
      <c r="J16" s="41">
        <f t="shared" si="15"/>
        <v>644688090.93460572</v>
      </c>
      <c r="K16" s="42">
        <f t="shared" si="15"/>
        <v>648556219.48021352</v>
      </c>
      <c r="M16" s="2"/>
      <c r="N16" s="2"/>
      <c r="P16" s="13"/>
      <c r="Q16" s="14"/>
    </row>
    <row r="17" spans="1:16" ht="16.5" customHeight="1">
      <c r="A17" s="33" t="s">
        <v>42</v>
      </c>
      <c r="B17" s="36"/>
      <c r="C17" s="36"/>
      <c r="D17" s="36">
        <f t="shared" ref="D17:K17" si="16">D16*0.2</f>
        <v>124391801.94720002</v>
      </c>
      <c r="E17" s="36">
        <f t="shared" si="16"/>
        <v>125138152.75888322</v>
      </c>
      <c r="F17" s="36">
        <f t="shared" si="16"/>
        <v>125888981.6754365</v>
      </c>
      <c r="G17" s="36">
        <f t="shared" si="16"/>
        <v>126644315.56548913</v>
      </c>
      <c r="H17" s="36">
        <f t="shared" si="16"/>
        <v>127404181.45888208</v>
      </c>
      <c r="I17" s="36">
        <f t="shared" si="16"/>
        <v>128168606.54763535</v>
      </c>
      <c r="J17" s="36">
        <f t="shared" si="16"/>
        <v>128937618.18692115</v>
      </c>
      <c r="K17" s="37">
        <f t="shared" si="16"/>
        <v>129711243.8960427</v>
      </c>
      <c r="M17" s="2"/>
    </row>
    <row r="18" spans="1:16" ht="16.5" customHeight="1">
      <c r="A18" s="33" t="s">
        <v>43</v>
      </c>
      <c r="B18" s="41"/>
      <c r="C18" s="41"/>
      <c r="D18" s="41">
        <f t="shared" ref="D18:K18" si="17">D16-D17</f>
        <v>497567207.78880006</v>
      </c>
      <c r="E18" s="41">
        <f t="shared" si="17"/>
        <v>500552611.03553283</v>
      </c>
      <c r="F18" s="41">
        <f t="shared" si="17"/>
        <v>503555926.70174599</v>
      </c>
      <c r="G18" s="41">
        <f t="shared" si="17"/>
        <v>506577262.26195651</v>
      </c>
      <c r="H18" s="41">
        <f t="shared" si="17"/>
        <v>509616725.83552825</v>
      </c>
      <c r="I18" s="41">
        <f t="shared" si="17"/>
        <v>512674426.19054139</v>
      </c>
      <c r="J18" s="41">
        <f t="shared" si="17"/>
        <v>515750472.7476846</v>
      </c>
      <c r="K18" s="42">
        <f t="shared" si="17"/>
        <v>518844975.58417082</v>
      </c>
      <c r="M18" s="2"/>
      <c r="N18" s="2"/>
      <c r="O18" s="2"/>
      <c r="P18" s="14"/>
    </row>
    <row r="19" spans="1:16" ht="16.5" customHeight="1">
      <c r="A19" s="44"/>
      <c r="B19" s="36"/>
      <c r="C19" s="35">
        <v>28000000000</v>
      </c>
      <c r="D19" s="36"/>
      <c r="E19" s="36"/>
      <c r="F19" s="36"/>
      <c r="G19" s="36"/>
      <c r="H19" s="36"/>
      <c r="I19" s="36"/>
      <c r="J19" s="36"/>
      <c r="K19" s="40"/>
      <c r="M19" s="2"/>
      <c r="N19" s="2"/>
    </row>
    <row r="20" spans="1:16" ht="16.5" customHeight="1">
      <c r="A20" s="44"/>
      <c r="B20" s="45" t="s">
        <v>44</v>
      </c>
      <c r="C20" s="46">
        <f>D18/C19</f>
        <v>1.7770257421028574E-2</v>
      </c>
      <c r="D20" s="41"/>
      <c r="E20" s="40"/>
      <c r="F20" s="40"/>
      <c r="G20" s="41"/>
      <c r="H20" s="41"/>
      <c r="I20" s="41"/>
      <c r="J20" s="41"/>
      <c r="K20" s="40"/>
      <c r="M20" s="2"/>
    </row>
    <row r="21" spans="1:16" ht="16.5" customHeight="1">
      <c r="A21" s="44"/>
      <c r="B21" s="47" t="s">
        <v>45</v>
      </c>
      <c r="C21" s="48">
        <v>2.0400000000000001E-2</v>
      </c>
      <c r="D21" s="36"/>
      <c r="E21" s="40"/>
      <c r="F21" s="40"/>
      <c r="G21" s="36"/>
      <c r="H21" s="36"/>
      <c r="I21" s="36"/>
      <c r="J21" s="36"/>
      <c r="K21" s="40"/>
      <c r="M21" s="2"/>
      <c r="N21" s="2"/>
    </row>
    <row r="22" spans="1:16" ht="16.5" customHeight="1">
      <c r="A22" s="44"/>
      <c r="B22" s="45" t="s">
        <v>46</v>
      </c>
      <c r="C22" s="41">
        <f>K18/C21</f>
        <v>25433577234.518177</v>
      </c>
      <c r="D22" s="41"/>
      <c r="E22" s="40"/>
      <c r="F22" s="40"/>
      <c r="G22" s="41"/>
      <c r="H22" s="41"/>
      <c r="I22" s="41"/>
      <c r="J22" s="41"/>
      <c r="K22" s="40"/>
      <c r="M22" s="12"/>
      <c r="N22" s="3" t="s">
        <v>47</v>
      </c>
      <c r="O22" s="2"/>
    </row>
    <row r="23" spans="1:16" ht="16.5" customHeight="1">
      <c r="A23" s="44"/>
      <c r="B23" s="49" t="s">
        <v>47</v>
      </c>
      <c r="C23" s="36">
        <f>C22*1.4%</f>
        <v>356070081.28325444</v>
      </c>
      <c r="D23" s="36"/>
      <c r="E23" s="40"/>
      <c r="F23" s="40"/>
      <c r="G23" s="36"/>
      <c r="H23" s="36"/>
      <c r="I23" s="36"/>
      <c r="J23" s="36"/>
      <c r="K23" s="50"/>
      <c r="M23" s="3" t="s">
        <v>49</v>
      </c>
      <c r="N23" s="68">
        <v>8.9999999999999993E-3</v>
      </c>
    </row>
    <row r="24" spans="1:16" ht="16.5" customHeight="1">
      <c r="A24" s="44"/>
      <c r="B24" s="43" t="s">
        <v>48</v>
      </c>
      <c r="C24" s="41">
        <f>C22-C23</f>
        <v>25077507153.234924</v>
      </c>
      <c r="D24" s="41"/>
      <c r="E24" s="40"/>
      <c r="F24" s="40"/>
      <c r="G24" s="41"/>
      <c r="H24" s="41"/>
      <c r="I24" s="41"/>
      <c r="J24" s="41"/>
      <c r="K24" s="40"/>
      <c r="M24" s="3" t="s">
        <v>51</v>
      </c>
      <c r="N24" s="68">
        <v>3.0000000000000001E-3</v>
      </c>
    </row>
    <row r="25" spans="1:16" ht="16.5" customHeight="1">
      <c r="A25" s="44"/>
      <c r="B25" s="49" t="s">
        <v>50</v>
      </c>
      <c r="C25" s="36">
        <f>C24-C19</f>
        <v>-2922492846.7650757</v>
      </c>
      <c r="D25" s="36"/>
      <c r="E25" s="40"/>
      <c r="F25" s="51"/>
      <c r="G25" s="36"/>
      <c r="H25" s="36"/>
      <c r="I25" s="36"/>
      <c r="J25" s="36"/>
      <c r="K25" s="40"/>
      <c r="M25" s="3" t="s">
        <v>53</v>
      </c>
      <c r="N25" s="68">
        <v>2E-3</v>
      </c>
    </row>
    <row r="26" spans="1:16" ht="16.5" customHeight="1">
      <c r="A26" s="44"/>
      <c r="B26" s="39" t="s">
        <v>52</v>
      </c>
      <c r="C26" s="52">
        <v>-28000000000</v>
      </c>
      <c r="D26" s="41">
        <f t="shared" ref="D26:I26" si="18">D18</f>
        <v>497567207.78880006</v>
      </c>
      <c r="E26" s="41">
        <f t="shared" si="18"/>
        <v>500552611.03553283</v>
      </c>
      <c r="F26" s="41">
        <f t="shared" si="18"/>
        <v>503555926.70174599</v>
      </c>
      <c r="G26" s="41">
        <f t="shared" si="18"/>
        <v>506577262.26195651</v>
      </c>
      <c r="H26" s="41">
        <f t="shared" si="18"/>
        <v>509616725.83552825</v>
      </c>
      <c r="I26" s="41">
        <f t="shared" si="18"/>
        <v>512674426.19054139</v>
      </c>
      <c r="J26" s="41">
        <f>J18+C24</f>
        <v>25593257625.982609</v>
      </c>
      <c r="K26" s="42"/>
      <c r="M26" s="3" t="s">
        <v>34</v>
      </c>
      <c r="N26" s="68">
        <v>1.4E-2</v>
      </c>
    </row>
    <row r="27" spans="1:16" ht="16.5" customHeight="1">
      <c r="A27" s="53"/>
      <c r="B27" s="54" t="s">
        <v>54</v>
      </c>
      <c r="C27" s="55">
        <f>IRR(C26:K26)</f>
        <v>3.3294983243745691E-3</v>
      </c>
      <c r="D27" s="56"/>
      <c r="E27" s="56"/>
      <c r="F27" s="56"/>
      <c r="G27" s="56"/>
      <c r="H27" s="56"/>
      <c r="I27" s="56"/>
      <c r="J27" s="56"/>
      <c r="K27" s="40"/>
    </row>
    <row r="28" spans="1:16" ht="16.5" customHeight="1"/>
    <row r="29" spans="1:16" ht="16.5" customHeight="1">
      <c r="H29" s="2"/>
      <c r="I29" s="2"/>
    </row>
    <row r="30" spans="1:16" ht="16.5" customHeight="1">
      <c r="A30" s="1" t="s">
        <v>55</v>
      </c>
      <c r="B30" s="15"/>
      <c r="C30" s="16"/>
      <c r="D30" s="17"/>
      <c r="E30" s="17"/>
      <c r="F30" s="17"/>
      <c r="G30" s="17"/>
      <c r="H30" s="17"/>
      <c r="I30" s="17"/>
      <c r="J30" s="17"/>
      <c r="K30" s="17"/>
    </row>
    <row r="31" spans="1:16" ht="16.5" customHeight="1">
      <c r="A31" s="31" t="s">
        <v>1</v>
      </c>
      <c r="B31" s="32" t="s">
        <v>2</v>
      </c>
      <c r="C31" s="29" t="s">
        <v>3</v>
      </c>
      <c r="D31" s="29" t="s">
        <v>4</v>
      </c>
      <c r="E31" s="29" t="s">
        <v>5</v>
      </c>
      <c r="F31" s="29" t="s">
        <v>6</v>
      </c>
      <c r="G31" s="29" t="s">
        <v>7</v>
      </c>
      <c r="H31" s="29" t="s">
        <v>8</v>
      </c>
      <c r="I31" s="29" t="s">
        <v>9</v>
      </c>
      <c r="J31" s="29" t="s">
        <v>10</v>
      </c>
      <c r="K31" s="30" t="s">
        <v>11</v>
      </c>
    </row>
    <row r="32" spans="1:16" ht="16.5" customHeight="1">
      <c r="A32" s="64" t="s">
        <v>13</v>
      </c>
      <c r="B32" s="34" t="s">
        <v>14</v>
      </c>
      <c r="C32" s="35">
        <v>-28000000000</v>
      </c>
      <c r="D32" s="36">
        <f t="shared" ref="D32:D37" si="19">O4*P4*12</f>
        <v>143934984</v>
      </c>
      <c r="E32" s="36">
        <f t="shared" ref="E32:K32" si="20">D32*1.006</f>
        <v>144798593.90400001</v>
      </c>
      <c r="F32" s="36">
        <f t="shared" si="20"/>
        <v>145667385.46742401</v>
      </c>
      <c r="G32" s="36">
        <f t="shared" si="20"/>
        <v>146541389.78022856</v>
      </c>
      <c r="H32" s="36">
        <f t="shared" si="20"/>
        <v>147420638.11890993</v>
      </c>
      <c r="I32" s="36">
        <f t="shared" si="20"/>
        <v>148305161.94762337</v>
      </c>
      <c r="J32" s="36">
        <f t="shared" si="20"/>
        <v>149194992.91930911</v>
      </c>
      <c r="K32" s="37">
        <f t="shared" si="20"/>
        <v>150090162.87682498</v>
      </c>
      <c r="L32" s="18" t="s">
        <v>56</v>
      </c>
    </row>
    <row r="33" spans="1:19" ht="16.5" customHeight="1">
      <c r="A33" s="65"/>
      <c r="B33" s="39" t="s">
        <v>21</v>
      </c>
      <c r="C33" s="40"/>
      <c r="D33" s="41">
        <f t="shared" si="19"/>
        <v>138022020</v>
      </c>
      <c r="E33" s="41">
        <f t="shared" ref="E33:K33" si="21">D33*1.006</f>
        <v>138850152.12</v>
      </c>
      <c r="F33" s="41">
        <f t="shared" si="21"/>
        <v>139683253.03272</v>
      </c>
      <c r="G33" s="41">
        <f t="shared" si="21"/>
        <v>140521352.55091631</v>
      </c>
      <c r="H33" s="41">
        <f t="shared" si="21"/>
        <v>141364480.66622183</v>
      </c>
      <c r="I33" s="41">
        <f t="shared" si="21"/>
        <v>142212667.55021915</v>
      </c>
      <c r="J33" s="41">
        <f t="shared" si="21"/>
        <v>143065943.55552047</v>
      </c>
      <c r="K33" s="42">
        <f t="shared" si="21"/>
        <v>143924339.21685359</v>
      </c>
    </row>
    <row r="34" spans="1:19" ht="16.5" customHeight="1">
      <c r="A34" s="65"/>
      <c r="B34" s="34" t="s">
        <v>24</v>
      </c>
      <c r="C34" s="36"/>
      <c r="D34" s="36">
        <f t="shared" si="19"/>
        <v>144004800</v>
      </c>
      <c r="E34" s="36">
        <f t="shared" ref="E34:K34" si="22">D34*1.006</f>
        <v>144868828.80000001</v>
      </c>
      <c r="F34" s="36">
        <f t="shared" si="22"/>
        <v>145738041.7728</v>
      </c>
      <c r="G34" s="36">
        <f t="shared" si="22"/>
        <v>146612470.02343678</v>
      </c>
      <c r="H34" s="36">
        <f t="shared" si="22"/>
        <v>147492144.84357741</v>
      </c>
      <c r="I34" s="36">
        <f t="shared" si="22"/>
        <v>148377097.71263888</v>
      </c>
      <c r="J34" s="36">
        <f t="shared" si="22"/>
        <v>149267360.29891473</v>
      </c>
      <c r="K34" s="37">
        <f t="shared" si="22"/>
        <v>150162964.46070823</v>
      </c>
    </row>
    <row r="35" spans="1:19" ht="16.5" customHeight="1">
      <c r="A35" s="65"/>
      <c r="B35" s="39" t="s">
        <v>26</v>
      </c>
      <c r="C35" s="41"/>
      <c r="D35" s="41">
        <f t="shared" si="19"/>
        <v>131966400</v>
      </c>
      <c r="E35" s="41">
        <f t="shared" ref="E35:K35" si="23">D35*1.006</f>
        <v>132758198.40000001</v>
      </c>
      <c r="F35" s="41">
        <f t="shared" si="23"/>
        <v>133554747.59040001</v>
      </c>
      <c r="G35" s="41">
        <f t="shared" si="23"/>
        <v>134356076.0759424</v>
      </c>
      <c r="H35" s="41">
        <f t="shared" si="23"/>
        <v>135162212.53239805</v>
      </c>
      <c r="I35" s="41">
        <f t="shared" si="23"/>
        <v>135973185.80759242</v>
      </c>
      <c r="J35" s="41">
        <f t="shared" si="23"/>
        <v>136789024.92243797</v>
      </c>
      <c r="K35" s="42">
        <f t="shared" si="23"/>
        <v>137609759.07197261</v>
      </c>
    </row>
    <row r="36" spans="1:19" ht="16.5" customHeight="1">
      <c r="A36" s="65"/>
      <c r="B36" s="34" t="s">
        <v>28</v>
      </c>
      <c r="C36" s="36"/>
      <c r="D36" s="36">
        <f t="shared" si="19"/>
        <v>107980800</v>
      </c>
      <c r="E36" s="36">
        <f t="shared" ref="E36:K36" si="24">D36*1.006</f>
        <v>108628684.8</v>
      </c>
      <c r="F36" s="36">
        <f t="shared" si="24"/>
        <v>109280456.90879999</v>
      </c>
      <c r="G36" s="36">
        <f t="shared" si="24"/>
        <v>109936139.65025279</v>
      </c>
      <c r="H36" s="36">
        <f t="shared" si="24"/>
        <v>110595756.48815431</v>
      </c>
      <c r="I36" s="36">
        <f t="shared" si="24"/>
        <v>111259331.02708323</v>
      </c>
      <c r="J36" s="36">
        <f t="shared" si="24"/>
        <v>111926887.01324573</v>
      </c>
      <c r="K36" s="37">
        <f t="shared" si="24"/>
        <v>112598448.33532521</v>
      </c>
      <c r="O36" s="12"/>
      <c r="P36" s="3" t="s">
        <v>57</v>
      </c>
      <c r="Q36" s="3" t="s">
        <v>58</v>
      </c>
      <c r="R36" s="3" t="s">
        <v>59</v>
      </c>
      <c r="S36" s="3" t="s">
        <v>60</v>
      </c>
    </row>
    <row r="37" spans="1:19" ht="16.5" customHeight="1">
      <c r="A37" s="65"/>
      <c r="B37" s="39" t="s">
        <v>61</v>
      </c>
      <c r="C37" s="41"/>
      <c r="D37" s="41">
        <f t="shared" si="19"/>
        <v>113159424</v>
      </c>
      <c r="E37" s="41">
        <f t="shared" ref="E37:K37" si="25">D37*1.006</f>
        <v>113838380.544</v>
      </c>
      <c r="F37" s="41">
        <f t="shared" si="25"/>
        <v>114521410.827264</v>
      </c>
      <c r="G37" s="41">
        <f t="shared" si="25"/>
        <v>115208539.29222758</v>
      </c>
      <c r="H37" s="41">
        <f t="shared" si="25"/>
        <v>115899790.52798095</v>
      </c>
      <c r="I37" s="41">
        <f t="shared" si="25"/>
        <v>116595189.27114885</v>
      </c>
      <c r="J37" s="41">
        <f t="shared" si="25"/>
        <v>117294760.40677574</v>
      </c>
      <c r="K37" s="42">
        <f t="shared" si="25"/>
        <v>117998528.96921639</v>
      </c>
      <c r="O37" s="3" t="s">
        <v>62</v>
      </c>
      <c r="P37" s="12">
        <f>88.6</f>
        <v>88.6</v>
      </c>
      <c r="Q37" s="7">
        <v>1500000</v>
      </c>
      <c r="R37" s="8">
        <f>P37*Q37</f>
        <v>132899999.99999999</v>
      </c>
      <c r="S37" s="8">
        <f>R37*0.2163</f>
        <v>28746269.999999996</v>
      </c>
    </row>
    <row r="38" spans="1:19" ht="16.5" customHeight="1">
      <c r="A38" s="65"/>
      <c r="B38" s="34" t="s">
        <v>63</v>
      </c>
      <c r="C38" s="36"/>
      <c r="D38" s="19">
        <v>31223136</v>
      </c>
      <c r="E38" s="36">
        <f t="shared" ref="E38:K38" si="26">D38*1.006</f>
        <v>31410474.816</v>
      </c>
      <c r="F38" s="36">
        <f t="shared" si="26"/>
        <v>31598937.664896</v>
      </c>
      <c r="G38" s="36">
        <f t="shared" si="26"/>
        <v>31788531.290885378</v>
      </c>
      <c r="H38" s="36">
        <f t="shared" si="26"/>
        <v>31979262.478630692</v>
      </c>
      <c r="I38" s="36">
        <f t="shared" si="26"/>
        <v>32171138.053502478</v>
      </c>
      <c r="J38" s="36">
        <f t="shared" si="26"/>
        <v>32364164.881823491</v>
      </c>
      <c r="K38" s="37">
        <f t="shared" si="26"/>
        <v>32558349.871114433</v>
      </c>
      <c r="O38" s="12"/>
      <c r="P38" s="12"/>
      <c r="Q38" s="3" t="s">
        <v>64</v>
      </c>
      <c r="R38" s="12"/>
      <c r="S38" s="69">
        <f>O10/(O9+O10)</f>
        <v>0.21625282167042892</v>
      </c>
    </row>
    <row r="39" spans="1:19" ht="16.5" customHeight="1">
      <c r="A39" s="65"/>
      <c r="B39" s="43" t="s">
        <v>34</v>
      </c>
      <c r="C39" s="41"/>
      <c r="D39" s="41">
        <f t="shared" ref="D39:K39" si="27">SUM(D32:D38)</f>
        <v>810291564</v>
      </c>
      <c r="E39" s="41">
        <f t="shared" si="27"/>
        <v>815153313.38400006</v>
      </c>
      <c r="F39" s="41">
        <f t="shared" si="27"/>
        <v>820044233.26430392</v>
      </c>
      <c r="G39" s="41">
        <f t="shared" si="27"/>
        <v>824964498.66388988</v>
      </c>
      <c r="H39" s="41">
        <f t="shared" si="27"/>
        <v>829914285.65587318</v>
      </c>
      <c r="I39" s="41">
        <f t="shared" si="27"/>
        <v>834893771.36980832</v>
      </c>
      <c r="J39" s="41">
        <f t="shared" si="27"/>
        <v>839903133.99802721</v>
      </c>
      <c r="K39" s="42">
        <f t="shared" si="27"/>
        <v>844942552.80201554</v>
      </c>
      <c r="P39" s="20"/>
    </row>
    <row r="40" spans="1:19" ht="16.5" customHeight="1">
      <c r="A40" s="65"/>
      <c r="B40" s="36"/>
      <c r="C40" s="36"/>
      <c r="D40" s="36"/>
      <c r="E40" s="36"/>
      <c r="F40" s="36"/>
      <c r="G40" s="36"/>
      <c r="H40" s="36"/>
      <c r="I40" s="36"/>
      <c r="J40" s="36"/>
      <c r="K40" s="40"/>
    </row>
    <row r="41" spans="1:19" ht="16.5" customHeight="1">
      <c r="A41" s="64" t="s">
        <v>37</v>
      </c>
      <c r="B41" s="41"/>
      <c r="C41" s="41"/>
      <c r="D41" s="41">
        <f>S42+S43</f>
        <v>30240000</v>
      </c>
      <c r="E41" s="41">
        <f t="shared" ref="E41:K41" si="28">D41*1.021</f>
        <v>30875039.999999996</v>
      </c>
      <c r="F41" s="41">
        <f t="shared" si="28"/>
        <v>31523415.839999992</v>
      </c>
      <c r="G41" s="41">
        <f t="shared" si="28"/>
        <v>32185407.572639991</v>
      </c>
      <c r="H41" s="41">
        <f t="shared" si="28"/>
        <v>32861301.131665427</v>
      </c>
      <c r="I41" s="41">
        <f t="shared" si="28"/>
        <v>33551388.4554304</v>
      </c>
      <c r="J41" s="41">
        <f t="shared" si="28"/>
        <v>34255967.612994432</v>
      </c>
      <c r="K41" s="42">
        <f t="shared" si="28"/>
        <v>34975342.932867311</v>
      </c>
      <c r="L41" s="21" t="s">
        <v>65</v>
      </c>
      <c r="O41" s="11"/>
      <c r="P41" s="3" t="s">
        <v>66</v>
      </c>
      <c r="Q41" s="3" t="s">
        <v>67</v>
      </c>
      <c r="R41" s="3" t="s">
        <v>68</v>
      </c>
      <c r="S41" s="70" t="s">
        <v>80</v>
      </c>
    </row>
    <row r="42" spans="1:19" ht="16.5" customHeight="1">
      <c r="A42" s="64" t="s">
        <v>39</v>
      </c>
      <c r="B42" s="36"/>
      <c r="C42" s="36"/>
      <c r="D42" s="36">
        <f t="shared" ref="D42:K42" si="29">D39+D41</f>
        <v>840531564</v>
      </c>
      <c r="E42" s="36">
        <f t="shared" si="29"/>
        <v>846028353.38400006</v>
      </c>
      <c r="F42" s="36">
        <f t="shared" si="29"/>
        <v>851567649.10430396</v>
      </c>
      <c r="G42" s="36">
        <f t="shared" si="29"/>
        <v>857149906.23652983</v>
      </c>
      <c r="H42" s="36">
        <f t="shared" si="29"/>
        <v>862775586.78753865</v>
      </c>
      <c r="I42" s="36">
        <f t="shared" si="29"/>
        <v>868445159.8252387</v>
      </c>
      <c r="J42" s="36">
        <f t="shared" si="29"/>
        <v>874159101.61102164</v>
      </c>
      <c r="K42" s="37">
        <f t="shared" si="29"/>
        <v>879917895.73488283</v>
      </c>
      <c r="O42" s="3" t="s">
        <v>69</v>
      </c>
      <c r="P42" s="6">
        <v>40</v>
      </c>
      <c r="Q42" s="7">
        <v>1500</v>
      </c>
      <c r="R42" s="22">
        <v>0.4</v>
      </c>
      <c r="S42" s="8">
        <f t="shared" ref="S42:S43" si="30">P42*Q42*R42*30*12</f>
        <v>8640000</v>
      </c>
    </row>
    <row r="43" spans="1:19" ht="16.5" customHeight="1">
      <c r="A43" s="64" t="s">
        <v>33</v>
      </c>
      <c r="B43" s="41"/>
      <c r="C43" s="41"/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2">
        <v>0</v>
      </c>
      <c r="O43" s="3" t="s">
        <v>70</v>
      </c>
      <c r="P43" s="6">
        <v>30</v>
      </c>
      <c r="Q43" s="7">
        <v>5000</v>
      </c>
      <c r="R43" s="22">
        <v>0.4</v>
      </c>
      <c r="S43" s="8">
        <f t="shared" si="30"/>
        <v>21600000</v>
      </c>
    </row>
    <row r="44" spans="1:19" ht="16.5" customHeight="1">
      <c r="A44" s="64" t="s">
        <v>40</v>
      </c>
      <c r="B44" s="36"/>
      <c r="C44" s="36"/>
      <c r="D44" s="36">
        <f t="shared" ref="D44:K44" si="31">(D42-D43)*0.066</f>
        <v>55475083.223999999</v>
      </c>
      <c r="E44" s="36">
        <f t="shared" si="31"/>
        <v>55837871.323344007</v>
      </c>
      <c r="F44" s="36">
        <f t="shared" si="31"/>
        <v>56203464.840884067</v>
      </c>
      <c r="G44" s="36">
        <f t="shared" si="31"/>
        <v>56571893.811610974</v>
      </c>
      <c r="H44" s="36">
        <f t="shared" si="31"/>
        <v>56943188.727977552</v>
      </c>
      <c r="I44" s="36">
        <f t="shared" si="31"/>
        <v>57317380.548465759</v>
      </c>
      <c r="J44" s="36">
        <f t="shared" si="31"/>
        <v>57694500.706327431</v>
      </c>
      <c r="K44" s="37">
        <f t="shared" si="31"/>
        <v>58074581.118502267</v>
      </c>
      <c r="L44" s="21" t="s">
        <v>71</v>
      </c>
    </row>
    <row r="45" spans="1:19" ht="16.5" customHeight="1">
      <c r="A45" s="64" t="s">
        <v>41</v>
      </c>
      <c r="B45" s="41"/>
      <c r="C45" s="41"/>
      <c r="D45" s="41">
        <f t="shared" ref="D45:K45" si="32">D42-D43-D44</f>
        <v>785056480.77600002</v>
      </c>
      <c r="E45" s="41">
        <f t="shared" si="32"/>
        <v>790190482.06065607</v>
      </c>
      <c r="F45" s="41">
        <f t="shared" si="32"/>
        <v>795364184.26341987</v>
      </c>
      <c r="G45" s="41">
        <f t="shared" si="32"/>
        <v>800578012.42491889</v>
      </c>
      <c r="H45" s="41">
        <f t="shared" si="32"/>
        <v>805832398.05956113</v>
      </c>
      <c r="I45" s="41">
        <f t="shared" si="32"/>
        <v>811127779.27677298</v>
      </c>
      <c r="J45" s="41">
        <f t="shared" si="32"/>
        <v>816464600.9046942</v>
      </c>
      <c r="K45" s="42">
        <f t="shared" si="32"/>
        <v>821843314.61638057</v>
      </c>
      <c r="L45" s="23"/>
    </row>
    <row r="46" spans="1:19" ht="16.5" customHeight="1">
      <c r="A46" s="64" t="s">
        <v>42</v>
      </c>
      <c r="B46" s="36"/>
      <c r="C46" s="36"/>
      <c r="D46" s="36">
        <f>D45*0.2+S73+S74</f>
        <v>169211296.1552</v>
      </c>
      <c r="E46" s="36">
        <f t="shared" ref="E46:K46" si="33">E45*0.2</f>
        <v>158038096.41213122</v>
      </c>
      <c r="F46" s="36">
        <f t="shared" si="33"/>
        <v>159072836.85268399</v>
      </c>
      <c r="G46" s="36">
        <f t="shared" si="33"/>
        <v>160115602.48498377</v>
      </c>
      <c r="H46" s="36">
        <f t="shared" si="33"/>
        <v>161166479.61191225</v>
      </c>
      <c r="I46" s="36">
        <f t="shared" si="33"/>
        <v>162225555.85535461</v>
      </c>
      <c r="J46" s="36">
        <f t="shared" si="33"/>
        <v>163292920.18093884</v>
      </c>
      <c r="K46" s="37">
        <f t="shared" si="33"/>
        <v>164368662.92327613</v>
      </c>
      <c r="L46" s="21" t="s">
        <v>72</v>
      </c>
    </row>
    <row r="47" spans="1:19" ht="16.5" customHeight="1">
      <c r="A47" s="64" t="s">
        <v>43</v>
      </c>
      <c r="B47" s="41"/>
      <c r="C47" s="41"/>
      <c r="D47" s="41">
        <f t="shared" ref="D47:K47" si="34">D45-D46</f>
        <v>615845184.62080002</v>
      </c>
      <c r="E47" s="41">
        <f t="shared" si="34"/>
        <v>632152385.64852488</v>
      </c>
      <c r="F47" s="41">
        <f t="shared" si="34"/>
        <v>636291347.41073585</v>
      </c>
      <c r="G47" s="41">
        <f t="shared" si="34"/>
        <v>640462409.93993509</v>
      </c>
      <c r="H47" s="41">
        <f t="shared" si="34"/>
        <v>644665918.44764888</v>
      </c>
      <c r="I47" s="41">
        <f t="shared" si="34"/>
        <v>648902223.42141843</v>
      </c>
      <c r="J47" s="41">
        <f t="shared" si="34"/>
        <v>653171680.72375536</v>
      </c>
      <c r="K47" s="42">
        <f t="shared" si="34"/>
        <v>657474651.69310451</v>
      </c>
      <c r="L47" s="24" t="s">
        <v>73</v>
      </c>
    </row>
    <row r="48" spans="1:19" ht="16.5" customHeight="1">
      <c r="A48" s="64" t="s">
        <v>74</v>
      </c>
      <c r="B48" s="40"/>
      <c r="C48" s="40"/>
      <c r="D48" s="57">
        <v>28746270</v>
      </c>
      <c r="E48" s="40"/>
      <c r="F48" s="40"/>
      <c r="G48" s="40"/>
      <c r="H48" s="40"/>
      <c r="I48" s="40"/>
      <c r="J48" s="40"/>
      <c r="K48" s="40"/>
    </row>
    <row r="49" spans="1:12" ht="16.5" customHeight="1">
      <c r="A49" s="64" t="s">
        <v>75</v>
      </c>
      <c r="B49" s="40"/>
      <c r="C49" s="40"/>
      <c r="D49" s="58">
        <f>D38</f>
        <v>31223136</v>
      </c>
      <c r="E49" s="59"/>
      <c r="F49" s="40"/>
      <c r="G49" s="40"/>
      <c r="H49" s="40"/>
      <c r="I49" s="40"/>
      <c r="J49" s="40"/>
      <c r="K49" s="40"/>
      <c r="L49" s="18" t="s">
        <v>76</v>
      </c>
    </row>
    <row r="50" spans="1:12" ht="16.5" customHeight="1">
      <c r="A50" s="66"/>
      <c r="B50" s="40"/>
      <c r="C50" s="40"/>
      <c r="D50" s="40"/>
      <c r="E50" s="40"/>
      <c r="F50" s="40"/>
      <c r="G50" s="40"/>
      <c r="H50" s="40"/>
      <c r="I50" s="40"/>
      <c r="J50" s="40"/>
      <c r="K50" s="40"/>
    </row>
    <row r="51" spans="1:12" ht="16.5" customHeight="1">
      <c r="A51" s="66"/>
      <c r="B51" s="39" t="s">
        <v>77</v>
      </c>
      <c r="C51" s="52"/>
      <c r="D51" s="41">
        <f>D47-D48-D49</f>
        <v>555875778.62080002</v>
      </c>
      <c r="E51" s="41">
        <f>E47</f>
        <v>632152385.64852488</v>
      </c>
      <c r="F51" s="41">
        <f t="shared" ref="F51:J51" si="35">F47-F48-F49</f>
        <v>636291347.41073585</v>
      </c>
      <c r="G51" s="41">
        <f t="shared" si="35"/>
        <v>640462409.93993509</v>
      </c>
      <c r="H51" s="41">
        <f t="shared" si="35"/>
        <v>644665918.44764888</v>
      </c>
      <c r="I51" s="41">
        <f t="shared" si="35"/>
        <v>648902223.42141843</v>
      </c>
      <c r="J51" s="41">
        <f t="shared" si="35"/>
        <v>653171680.72375536</v>
      </c>
      <c r="K51" s="42"/>
    </row>
    <row r="52" spans="1:12" ht="16.5" customHeight="1">
      <c r="A52" s="66"/>
      <c r="B52" s="34" t="s">
        <v>52</v>
      </c>
      <c r="C52" s="35">
        <v>-28000000000</v>
      </c>
      <c r="D52" s="36">
        <f>D47-D48-D49</f>
        <v>555875778.62080002</v>
      </c>
      <c r="E52" s="36">
        <f t="shared" ref="E52:I52" si="36">E47</f>
        <v>632152385.64852488</v>
      </c>
      <c r="F52" s="36">
        <f t="shared" si="36"/>
        <v>636291347.41073585</v>
      </c>
      <c r="G52" s="36">
        <f t="shared" si="36"/>
        <v>640462409.93993509</v>
      </c>
      <c r="H52" s="36">
        <f t="shared" si="36"/>
        <v>644665918.44764888</v>
      </c>
      <c r="I52" s="36">
        <f t="shared" si="36"/>
        <v>648902223.42141843</v>
      </c>
      <c r="J52" s="36">
        <f>J47+C60</f>
        <v>26793091300.457668</v>
      </c>
      <c r="K52" s="37"/>
    </row>
    <row r="53" spans="1:12" ht="16.5" customHeight="1">
      <c r="A53" s="66"/>
      <c r="B53" s="43" t="s">
        <v>54</v>
      </c>
      <c r="C53" s="46">
        <f>IRR(C52:K52)</f>
        <v>1.3368660069841054E-2</v>
      </c>
      <c r="D53" s="41"/>
      <c r="E53" s="41"/>
      <c r="F53" s="41"/>
      <c r="G53" s="41"/>
      <c r="H53" s="41"/>
      <c r="I53" s="41"/>
      <c r="J53" s="41"/>
      <c r="K53" s="40"/>
    </row>
    <row r="54" spans="1:12" ht="16.5" customHeight="1">
      <c r="A54" s="66"/>
      <c r="B54" s="47"/>
      <c r="C54" s="40"/>
      <c r="D54" s="36"/>
      <c r="E54" s="36"/>
      <c r="F54" s="36"/>
      <c r="G54" s="36"/>
      <c r="H54" s="36"/>
      <c r="I54" s="36"/>
      <c r="J54" s="36"/>
      <c r="K54" s="40"/>
    </row>
    <row r="55" spans="1:12" ht="16.5" customHeight="1">
      <c r="A55" s="66"/>
      <c r="B55" s="43"/>
      <c r="C55" s="52">
        <v>28000000000</v>
      </c>
      <c r="D55" s="41"/>
      <c r="E55" s="41"/>
      <c r="F55" s="41"/>
      <c r="G55" s="41"/>
      <c r="H55" s="41"/>
      <c r="I55" s="41"/>
      <c r="J55" s="41"/>
      <c r="K55" s="40"/>
    </row>
    <row r="56" spans="1:12" ht="16.5" customHeight="1">
      <c r="A56" s="66"/>
      <c r="B56" s="47" t="s">
        <v>44</v>
      </c>
      <c r="C56" s="48">
        <f>D47/C55</f>
        <v>2.1994470879314287E-2</v>
      </c>
      <c r="D56" s="36"/>
      <c r="E56" s="36"/>
      <c r="F56" s="36"/>
      <c r="G56" s="36"/>
      <c r="H56" s="36"/>
      <c r="I56" s="36"/>
      <c r="J56" s="36"/>
      <c r="K56" s="40"/>
    </row>
    <row r="57" spans="1:12" ht="16.5" customHeight="1">
      <c r="A57" s="66"/>
      <c r="B57" s="45" t="s">
        <v>45</v>
      </c>
      <c r="C57" s="46">
        <v>2.4799999999999999E-2</v>
      </c>
      <c r="D57" s="41"/>
      <c r="E57" s="41"/>
      <c r="F57" s="41"/>
      <c r="G57" s="41"/>
      <c r="H57" s="41"/>
      <c r="I57" s="41"/>
      <c r="J57" s="41"/>
      <c r="K57" s="40"/>
    </row>
    <row r="58" spans="1:12" ht="16.5" customHeight="1">
      <c r="A58" s="66"/>
      <c r="B58" s="47" t="s">
        <v>46</v>
      </c>
      <c r="C58" s="36">
        <f>K47/C57</f>
        <v>26511074665.044537</v>
      </c>
      <c r="D58" s="36"/>
      <c r="E58" s="36"/>
      <c r="F58" s="36"/>
      <c r="G58" s="36"/>
      <c r="H58" s="36"/>
      <c r="I58" s="36"/>
      <c r="J58" s="36"/>
      <c r="K58" s="40"/>
    </row>
    <row r="59" spans="1:12" ht="16.5" customHeight="1">
      <c r="A59" s="66"/>
      <c r="B59" s="43" t="s">
        <v>47</v>
      </c>
      <c r="C59" s="41">
        <f>C58*1.4%</f>
        <v>371155045.31062347</v>
      </c>
      <c r="D59" s="41"/>
      <c r="E59" s="41"/>
      <c r="F59" s="41"/>
      <c r="G59" s="41"/>
      <c r="H59" s="41"/>
      <c r="I59" s="41"/>
      <c r="J59" s="41"/>
      <c r="K59" s="40"/>
    </row>
    <row r="60" spans="1:12" ht="16.5" customHeight="1">
      <c r="A60" s="66"/>
      <c r="B60" s="49" t="s">
        <v>48</v>
      </c>
      <c r="C60" s="36">
        <f>C58-C59</f>
        <v>26139919619.733913</v>
      </c>
      <c r="D60" s="36"/>
      <c r="E60" s="36"/>
      <c r="F60" s="36"/>
      <c r="G60" s="36"/>
      <c r="H60" s="36"/>
      <c r="I60" s="36"/>
      <c r="J60" s="36"/>
      <c r="K60" s="40"/>
    </row>
    <row r="61" spans="1:12" ht="16.5" customHeight="1">
      <c r="A61" s="66"/>
      <c r="B61" s="39" t="s">
        <v>78</v>
      </c>
      <c r="C61" s="60">
        <f>C60-C55</f>
        <v>-1860080380.2660866</v>
      </c>
      <c r="D61" s="40"/>
      <c r="E61" s="40"/>
      <c r="F61" s="40"/>
      <c r="G61" s="40"/>
      <c r="H61" s="40"/>
      <c r="I61" s="40"/>
      <c r="J61" s="40"/>
      <c r="K61" s="40"/>
    </row>
    <row r="62" spans="1:12" ht="16.5" customHeight="1">
      <c r="A62" s="66"/>
      <c r="B62" s="34" t="s">
        <v>52</v>
      </c>
      <c r="C62" s="35">
        <v>-28000000000</v>
      </c>
      <c r="D62" s="36">
        <v>555875778.62080002</v>
      </c>
      <c r="E62" s="36">
        <v>632152385.64852488</v>
      </c>
      <c r="F62" s="36">
        <v>636291347.41073585</v>
      </c>
      <c r="G62" s="36">
        <v>640462409.93993509</v>
      </c>
      <c r="H62" s="36">
        <v>644665918.44764888</v>
      </c>
      <c r="I62" s="36">
        <v>648902223.42141843</v>
      </c>
      <c r="J62" s="36">
        <v>26793091300.457668</v>
      </c>
      <c r="K62" s="40"/>
    </row>
    <row r="63" spans="1:12" ht="16.5" customHeight="1">
      <c r="A63" s="67"/>
      <c r="B63" s="61" t="s">
        <v>54</v>
      </c>
      <c r="C63" s="62">
        <v>1.3368660069825161E-2</v>
      </c>
      <c r="D63" s="63"/>
      <c r="E63" s="63"/>
      <c r="F63" s="63"/>
      <c r="G63" s="63"/>
      <c r="H63" s="63"/>
      <c r="I63" s="63"/>
      <c r="J63" s="63"/>
      <c r="K63" s="40"/>
    </row>
    <row r="64" spans="1:12" ht="16.5" customHeight="1">
      <c r="B64" s="25"/>
      <c r="C64" s="25"/>
      <c r="D64" s="25"/>
      <c r="E64" s="25"/>
      <c r="F64" s="25"/>
      <c r="G64" s="25"/>
      <c r="H64" s="25"/>
      <c r="I64" s="25"/>
      <c r="J64" s="25"/>
    </row>
    <row r="65" spans="1:19" ht="16.5" customHeight="1">
      <c r="B65" s="25"/>
      <c r="C65" s="25"/>
      <c r="D65" s="25"/>
      <c r="E65" s="25"/>
      <c r="F65" s="25"/>
      <c r="G65" s="25"/>
      <c r="H65" s="25"/>
      <c r="I65" s="25"/>
      <c r="J65" s="25"/>
    </row>
    <row r="66" spans="1:19" ht="16.5" customHeight="1">
      <c r="B66" s="25"/>
      <c r="C66" s="25"/>
      <c r="D66" s="25"/>
      <c r="E66" s="25"/>
      <c r="F66" s="25"/>
      <c r="G66" s="25"/>
      <c r="H66" s="25"/>
      <c r="I66" s="25"/>
      <c r="J66" s="25"/>
    </row>
    <row r="67" spans="1:19" ht="16.5" customHeight="1">
      <c r="B67" s="25"/>
      <c r="C67" s="25"/>
      <c r="D67" s="25"/>
      <c r="E67" s="25"/>
      <c r="F67" s="25"/>
      <c r="G67" s="25"/>
      <c r="H67" s="25"/>
      <c r="I67" s="25"/>
      <c r="J67" s="25"/>
    </row>
    <row r="68" spans="1:19" ht="16.5" customHeight="1">
      <c r="B68" s="25"/>
      <c r="C68" s="25"/>
      <c r="D68" s="25"/>
      <c r="E68" s="25"/>
      <c r="F68" s="25"/>
      <c r="G68" s="25"/>
      <c r="H68" s="25"/>
      <c r="I68" s="25"/>
      <c r="J68" s="25"/>
    </row>
    <row r="69" spans="1:19" ht="16.5" customHeight="1">
      <c r="B69" s="25"/>
      <c r="C69" s="25"/>
      <c r="D69" s="25"/>
      <c r="E69" s="25"/>
      <c r="F69" s="25"/>
      <c r="G69" s="25"/>
      <c r="H69" s="25"/>
      <c r="I69" s="25"/>
      <c r="J69" s="25"/>
    </row>
    <row r="70" spans="1:19" ht="16.5" customHeight="1">
      <c r="B70" s="25"/>
      <c r="C70" s="25"/>
      <c r="D70" s="25"/>
      <c r="E70" s="25"/>
      <c r="F70" s="25"/>
      <c r="G70" s="25"/>
      <c r="H70" s="25"/>
      <c r="I70" s="25"/>
      <c r="J70" s="25"/>
    </row>
    <row r="71" spans="1:19" ht="16.5" customHeight="1">
      <c r="B71" s="25"/>
      <c r="C71" s="25"/>
      <c r="D71" s="25"/>
      <c r="E71" s="25"/>
      <c r="F71" s="25"/>
      <c r="G71" s="25"/>
      <c r="H71" s="25"/>
      <c r="I71" s="25"/>
      <c r="J71" s="25"/>
    </row>
    <row r="72" spans="1:19" ht="16.5" customHeight="1">
      <c r="B72" s="25"/>
      <c r="C72" s="25"/>
      <c r="D72" s="25"/>
      <c r="E72" s="25"/>
      <c r="F72" s="25"/>
      <c r="G72" s="25"/>
      <c r="H72" s="25"/>
      <c r="I72" s="25"/>
      <c r="J72" s="25"/>
      <c r="S72" s="2" t="s">
        <v>79</v>
      </c>
    </row>
    <row r="73" spans="1:19" ht="16.5" customHeight="1">
      <c r="B73" s="26"/>
      <c r="C73" s="26"/>
      <c r="D73" s="26"/>
      <c r="E73" s="26"/>
      <c r="F73" s="26"/>
      <c r="G73" s="26"/>
      <c r="H73" s="26"/>
      <c r="I73" s="26"/>
      <c r="J73" s="25"/>
      <c r="S73" s="13">
        <v>5200000</v>
      </c>
    </row>
    <row r="74" spans="1:19" ht="16.5" customHeight="1">
      <c r="A74" s="2"/>
      <c r="B74" s="27"/>
      <c r="C74" s="25"/>
      <c r="D74" s="25"/>
      <c r="E74" s="25"/>
      <c r="F74" s="25"/>
      <c r="G74" s="25"/>
      <c r="H74" s="25"/>
      <c r="I74" s="25"/>
      <c r="J74" s="25"/>
      <c r="S74" s="13">
        <v>7000000</v>
      </c>
    </row>
    <row r="75" spans="1:19" ht="16.5" customHeight="1">
      <c r="A75" s="2"/>
      <c r="B75" s="25"/>
      <c r="C75" s="25"/>
      <c r="D75" s="25"/>
      <c r="E75" s="25"/>
      <c r="F75" s="25"/>
      <c r="G75" s="25"/>
      <c r="H75" s="25"/>
      <c r="I75" s="25"/>
      <c r="J75" s="25"/>
    </row>
    <row r="76" spans="1:19" ht="16.5" customHeight="1">
      <c r="A76" s="2"/>
      <c r="B76" s="25"/>
      <c r="C76" s="25"/>
      <c r="D76" s="25"/>
      <c r="E76" s="25"/>
      <c r="F76" s="25"/>
      <c r="G76" s="25"/>
      <c r="H76" s="25"/>
      <c r="I76" s="25"/>
      <c r="J76" s="25"/>
    </row>
    <row r="77" spans="1:19" ht="16.5" customHeight="1">
      <c r="A77" s="2"/>
      <c r="B77" s="27"/>
      <c r="C77" s="25"/>
      <c r="D77" s="25"/>
      <c r="E77" s="25"/>
      <c r="F77" s="25"/>
      <c r="G77" s="25"/>
      <c r="H77" s="25"/>
      <c r="I77" s="25"/>
      <c r="J77" s="25"/>
    </row>
    <row r="78" spans="1:19" ht="16.5" customHeight="1">
      <c r="A78" s="2"/>
      <c r="B78" s="27"/>
      <c r="C78" s="25"/>
      <c r="D78" s="25"/>
      <c r="E78" s="25"/>
      <c r="F78" s="25"/>
      <c r="G78" s="25"/>
      <c r="H78" s="25"/>
      <c r="I78" s="25"/>
      <c r="J78" s="25"/>
    </row>
    <row r="79" spans="1:19" ht="16.5" customHeight="1">
      <c r="A79" s="2"/>
      <c r="B79" s="13"/>
      <c r="C79" s="25"/>
      <c r="D79" s="25"/>
      <c r="E79" s="25"/>
      <c r="F79" s="25"/>
      <c r="G79" s="25"/>
      <c r="H79" s="25"/>
      <c r="I79" s="25"/>
      <c r="J79" s="25"/>
    </row>
    <row r="80" spans="1:19" ht="16.5" customHeight="1">
      <c r="A80" s="2"/>
      <c r="B80" s="28"/>
      <c r="C80" s="25"/>
      <c r="D80" s="25"/>
      <c r="E80" s="25"/>
      <c r="F80" s="25"/>
      <c r="G80" s="25"/>
      <c r="H80" s="25"/>
      <c r="I80" s="25"/>
      <c r="J80" s="25"/>
    </row>
    <row r="81" spans="2:10" ht="16.5" customHeight="1">
      <c r="B81" s="25"/>
      <c r="C81" s="25"/>
      <c r="D81" s="25"/>
      <c r="E81" s="25"/>
      <c r="F81" s="25"/>
      <c r="G81" s="25"/>
      <c r="H81" s="25"/>
      <c r="I81" s="25"/>
      <c r="J81" s="25"/>
    </row>
    <row r="82" spans="2:10" ht="16.5" customHeight="1">
      <c r="B82" s="25"/>
      <c r="C82" s="25"/>
      <c r="D82" s="25"/>
      <c r="E82" s="25"/>
      <c r="F82" s="25"/>
      <c r="G82" s="25"/>
      <c r="H82" s="25"/>
      <c r="I82" s="25"/>
      <c r="J82" s="25"/>
    </row>
    <row r="83" spans="2:10" ht="16.5" customHeight="1">
      <c r="B83" s="25"/>
      <c r="C83" s="25"/>
      <c r="D83" s="25"/>
      <c r="E83" s="25"/>
      <c r="F83" s="25"/>
      <c r="G83" s="25"/>
      <c r="H83" s="25"/>
      <c r="I83" s="25"/>
      <c r="J83" s="25"/>
    </row>
    <row r="84" spans="2:10" ht="16.5" customHeight="1">
      <c r="B84" s="25"/>
      <c r="C84" s="25"/>
      <c r="D84" s="25"/>
      <c r="E84" s="25"/>
      <c r="F84" s="25"/>
      <c r="G84" s="25"/>
      <c r="H84" s="25"/>
      <c r="I84" s="25"/>
      <c r="J84" s="25"/>
    </row>
    <row r="85" spans="2:10" ht="16.5" customHeight="1">
      <c r="B85" s="25"/>
      <c r="C85" s="25"/>
      <c r="D85" s="25"/>
      <c r="E85" s="25"/>
      <c r="F85" s="25"/>
      <c r="G85" s="25"/>
      <c r="H85" s="25"/>
      <c r="I85" s="25"/>
      <c r="J85" s="25"/>
    </row>
    <row r="86" spans="2:10" ht="16.5" customHeight="1">
      <c r="B86" s="25"/>
      <c r="C86" s="25"/>
      <c r="D86" s="25"/>
      <c r="E86" s="25"/>
      <c r="F86" s="25"/>
      <c r="G86" s="25"/>
      <c r="H86" s="25"/>
      <c r="I86" s="25"/>
      <c r="J86" s="25"/>
    </row>
    <row r="87" spans="2:10" ht="16.5" customHeight="1">
      <c r="B87" s="25"/>
      <c r="C87" s="25"/>
      <c r="D87" s="25"/>
      <c r="E87" s="25"/>
      <c r="F87" s="25"/>
      <c r="G87" s="25"/>
      <c r="H87" s="25"/>
      <c r="I87" s="25"/>
      <c r="J87" s="25"/>
    </row>
    <row r="88" spans="2:10" ht="16.5" customHeight="1">
      <c r="B88" s="25"/>
      <c r="C88" s="25"/>
      <c r="D88" s="25"/>
      <c r="E88" s="25"/>
      <c r="F88" s="25"/>
      <c r="G88" s="25"/>
      <c r="H88" s="25"/>
      <c r="I88" s="25"/>
      <c r="J88" s="25"/>
    </row>
    <row r="89" spans="2:10" ht="16.5" customHeight="1">
      <c r="B89" s="25"/>
      <c r="C89" s="25"/>
      <c r="D89" s="25"/>
      <c r="E89" s="25"/>
      <c r="F89" s="25"/>
      <c r="G89" s="25"/>
      <c r="H89" s="25"/>
      <c r="I89" s="25"/>
      <c r="J89" s="25"/>
    </row>
    <row r="90" spans="2:10" ht="16.5" customHeight="1">
      <c r="B90" s="25"/>
      <c r="C90" s="25"/>
      <c r="D90" s="25"/>
      <c r="E90" s="25"/>
      <c r="F90" s="25"/>
      <c r="G90" s="25"/>
      <c r="H90" s="25"/>
      <c r="I90" s="25"/>
      <c r="J90" s="25"/>
    </row>
    <row r="91" spans="2:10" ht="16.5" customHeight="1">
      <c r="B91" s="25"/>
      <c r="C91" s="25"/>
      <c r="D91" s="25"/>
      <c r="E91" s="25"/>
      <c r="F91" s="25"/>
      <c r="G91" s="25"/>
      <c r="H91" s="25"/>
      <c r="I91" s="25"/>
      <c r="J91" s="25"/>
    </row>
    <row r="92" spans="2:10" ht="16.5" customHeight="1">
      <c r="B92" s="25"/>
      <c r="C92" s="25"/>
      <c r="D92" s="25"/>
      <c r="E92" s="25"/>
      <c r="F92" s="25"/>
      <c r="G92" s="25"/>
      <c r="H92" s="25"/>
      <c r="I92" s="25"/>
      <c r="J92" s="25"/>
    </row>
    <row r="93" spans="2:10" ht="16.5" customHeight="1">
      <c r="B93" s="25"/>
      <c r="C93" s="25"/>
      <c r="D93" s="25"/>
      <c r="E93" s="25"/>
      <c r="F93" s="25"/>
      <c r="G93" s="25"/>
      <c r="H93" s="25"/>
      <c r="I93" s="25"/>
      <c r="J93" s="25"/>
    </row>
    <row r="94" spans="2:10" ht="16.5" customHeight="1">
      <c r="B94" s="25"/>
      <c r="C94" s="25"/>
      <c r="D94" s="25"/>
      <c r="E94" s="25"/>
      <c r="F94" s="25"/>
      <c r="G94" s="25"/>
      <c r="H94" s="25"/>
      <c r="I94" s="25"/>
      <c r="J94" s="25"/>
    </row>
    <row r="95" spans="2:10" ht="16.5" customHeight="1">
      <c r="B95" s="25"/>
      <c r="C95" s="25"/>
      <c r="D95" s="25"/>
      <c r="E95" s="25"/>
      <c r="F95" s="25"/>
      <c r="G95" s="25"/>
      <c r="H95" s="25"/>
      <c r="I95" s="25"/>
      <c r="J95" s="25"/>
    </row>
    <row r="96" spans="2:10" ht="16.5" customHeight="1">
      <c r="B96" s="25"/>
      <c r="C96" s="25"/>
      <c r="D96" s="25"/>
      <c r="E96" s="25"/>
      <c r="F96" s="25"/>
      <c r="G96" s="25"/>
      <c r="H96" s="25"/>
      <c r="I96" s="25"/>
      <c r="J96" s="25"/>
    </row>
    <row r="97" spans="2:10" ht="16.5" customHeight="1">
      <c r="B97" s="25"/>
      <c r="C97" s="25"/>
      <c r="D97" s="25"/>
      <c r="E97" s="25"/>
      <c r="F97" s="25"/>
      <c r="G97" s="25"/>
      <c r="H97" s="25"/>
      <c r="I97" s="25"/>
      <c r="J97" s="25"/>
    </row>
    <row r="98" spans="2:10" ht="16.5" customHeight="1">
      <c r="B98" s="25"/>
      <c r="C98" s="25"/>
      <c r="D98" s="25"/>
      <c r="E98" s="25"/>
      <c r="F98" s="25"/>
      <c r="G98" s="25"/>
      <c r="H98" s="25"/>
      <c r="I98" s="25"/>
      <c r="J98" s="25"/>
    </row>
    <row r="99" spans="2:10" ht="16.5" customHeight="1">
      <c r="B99" s="25"/>
      <c r="C99" s="25"/>
      <c r="D99" s="25"/>
      <c r="E99" s="25"/>
      <c r="F99" s="25"/>
      <c r="G99" s="25"/>
      <c r="H99" s="25"/>
      <c r="I99" s="25"/>
      <c r="J99" s="25"/>
    </row>
    <row r="100" spans="2:10" ht="16.5" customHeight="1">
      <c r="B100" s="25"/>
      <c r="C100" s="25"/>
      <c r="D100" s="25"/>
      <c r="E100" s="25"/>
      <c r="F100" s="25"/>
      <c r="G100" s="25"/>
      <c r="H100" s="25"/>
      <c r="I100" s="25"/>
      <c r="J100" s="25"/>
    </row>
    <row r="101" spans="2:10" ht="16.5" customHeight="1">
      <c r="B101" s="25"/>
      <c r="C101" s="25"/>
      <c r="D101" s="25"/>
      <c r="E101" s="25"/>
      <c r="F101" s="25"/>
      <c r="G101" s="25"/>
      <c r="H101" s="25"/>
      <c r="I101" s="25"/>
      <c r="J101" s="25"/>
    </row>
    <row r="102" spans="2:10" ht="16.5" customHeight="1">
      <c r="B102" s="25"/>
      <c r="C102" s="25"/>
      <c r="D102" s="25"/>
      <c r="E102" s="25"/>
      <c r="F102" s="25"/>
      <c r="G102" s="25"/>
      <c r="H102" s="25"/>
      <c r="I102" s="25"/>
      <c r="J102" s="25"/>
    </row>
    <row r="103" spans="2:10" ht="16.5" customHeight="1">
      <c r="B103" s="25"/>
      <c r="C103" s="25"/>
      <c r="D103" s="25"/>
      <c r="E103" s="25"/>
      <c r="F103" s="25"/>
      <c r="G103" s="25"/>
      <c r="H103" s="25"/>
      <c r="I103" s="25"/>
      <c r="J103" s="25"/>
    </row>
    <row r="104" spans="2:10" ht="16.5" customHeight="1">
      <c r="B104" s="25"/>
      <c r="C104" s="25"/>
      <c r="D104" s="25"/>
      <c r="E104" s="25"/>
      <c r="F104" s="25"/>
      <c r="G104" s="25"/>
      <c r="H104" s="25"/>
      <c r="I104" s="25"/>
      <c r="J104" s="25"/>
    </row>
    <row r="105" spans="2:10" ht="16.5" customHeight="1">
      <c r="B105" s="25"/>
      <c r="C105" s="25"/>
      <c r="D105" s="25"/>
      <c r="E105" s="25"/>
      <c r="F105" s="25"/>
      <c r="G105" s="25"/>
      <c r="H105" s="25"/>
      <c r="I105" s="25"/>
      <c r="J105" s="25"/>
    </row>
    <row r="106" spans="2:10" ht="16.5" customHeight="1">
      <c r="B106" s="25"/>
      <c r="C106" s="25"/>
      <c r="D106" s="25"/>
      <c r="E106" s="25"/>
      <c r="F106" s="25"/>
      <c r="G106" s="25"/>
      <c r="H106" s="25"/>
      <c r="I106" s="25"/>
      <c r="J106" s="25"/>
    </row>
    <row r="107" spans="2:10" ht="16.5" customHeight="1">
      <c r="B107" s="25"/>
      <c r="C107" s="25"/>
      <c r="D107" s="25"/>
      <c r="E107" s="25"/>
      <c r="F107" s="25"/>
      <c r="G107" s="25"/>
      <c r="H107" s="25"/>
      <c r="I107" s="25"/>
      <c r="J107" s="25"/>
    </row>
    <row r="108" spans="2:10" ht="16.5" customHeight="1">
      <c r="B108" s="25"/>
      <c r="C108" s="25"/>
      <c r="D108" s="25"/>
      <c r="E108" s="25"/>
      <c r="F108" s="25"/>
      <c r="G108" s="25"/>
      <c r="H108" s="25"/>
      <c r="I108" s="25"/>
      <c r="J108" s="25"/>
    </row>
    <row r="109" spans="2:10" ht="16.5" customHeight="1">
      <c r="B109" s="25"/>
      <c r="C109" s="25"/>
      <c r="D109" s="25"/>
      <c r="E109" s="25"/>
      <c r="F109" s="25"/>
      <c r="G109" s="25"/>
      <c r="H109" s="25"/>
      <c r="I109" s="25"/>
      <c r="J109" s="25"/>
    </row>
    <row r="110" spans="2:10" ht="16.5" customHeight="1">
      <c r="B110" s="25"/>
      <c r="C110" s="25"/>
      <c r="D110" s="25"/>
      <c r="E110" s="25"/>
      <c r="F110" s="25"/>
      <c r="G110" s="25"/>
      <c r="H110" s="25"/>
      <c r="I110" s="25"/>
      <c r="J110" s="25"/>
    </row>
    <row r="111" spans="2:10" ht="16.5" customHeight="1">
      <c r="B111" s="25"/>
      <c r="C111" s="25"/>
      <c r="D111" s="25"/>
      <c r="E111" s="25"/>
      <c r="F111" s="25"/>
      <c r="G111" s="25"/>
      <c r="H111" s="25"/>
      <c r="I111" s="25"/>
      <c r="J111" s="25"/>
    </row>
    <row r="112" spans="2:10" ht="16.5" customHeight="1">
      <c r="B112" s="25"/>
      <c r="C112" s="25"/>
      <c r="D112" s="25"/>
      <c r="E112" s="25"/>
      <c r="F112" s="25"/>
      <c r="G112" s="25"/>
      <c r="H112" s="25"/>
      <c r="I112" s="25"/>
      <c r="J112" s="25"/>
    </row>
    <row r="113" spans="2:10" ht="16.5" customHeight="1">
      <c r="B113" s="25"/>
      <c r="C113" s="25"/>
      <c r="D113" s="25"/>
      <c r="E113" s="25"/>
      <c r="F113" s="25"/>
      <c r="G113" s="25"/>
      <c r="H113" s="25"/>
      <c r="I113" s="25"/>
      <c r="J113" s="25"/>
    </row>
    <row r="114" spans="2:10" ht="16.5" customHeight="1">
      <c r="B114" s="25"/>
      <c r="C114" s="25"/>
      <c r="D114" s="25"/>
      <c r="E114" s="25"/>
      <c r="F114" s="25"/>
      <c r="G114" s="25"/>
      <c r="H114" s="25"/>
      <c r="I114" s="25"/>
      <c r="J114" s="25"/>
    </row>
    <row r="115" spans="2:10" ht="16.5" customHeight="1">
      <c r="B115" s="25"/>
      <c r="C115" s="25"/>
      <c r="D115" s="25"/>
      <c r="E115" s="25"/>
      <c r="F115" s="25"/>
      <c r="G115" s="25"/>
      <c r="H115" s="25"/>
      <c r="I115" s="25"/>
      <c r="J115" s="25"/>
    </row>
    <row r="116" spans="2:10" ht="16.5" customHeight="1">
      <c r="B116" s="25"/>
      <c r="C116" s="25"/>
      <c r="D116" s="25"/>
      <c r="E116" s="25"/>
      <c r="F116" s="25"/>
      <c r="G116" s="25"/>
      <c r="H116" s="25"/>
      <c r="I116" s="25"/>
      <c r="J116" s="25"/>
    </row>
    <row r="117" spans="2:10" ht="16.5" customHeight="1">
      <c r="B117" s="25"/>
      <c r="C117" s="25"/>
      <c r="D117" s="25"/>
      <c r="E117" s="25"/>
      <c r="F117" s="25"/>
      <c r="G117" s="25"/>
      <c r="H117" s="25"/>
      <c r="I117" s="25"/>
      <c r="J117" s="25"/>
    </row>
    <row r="118" spans="2:10" ht="16.5" customHeight="1">
      <c r="B118" s="25"/>
      <c r="C118" s="25"/>
      <c r="D118" s="25"/>
      <c r="E118" s="25"/>
      <c r="F118" s="25"/>
      <c r="G118" s="25"/>
      <c r="H118" s="25"/>
      <c r="I118" s="25"/>
      <c r="J118" s="25"/>
    </row>
    <row r="119" spans="2:10" ht="16.5" customHeight="1">
      <c r="B119" s="25"/>
      <c r="C119" s="25"/>
      <c r="D119" s="25"/>
      <c r="E119" s="25"/>
      <c r="F119" s="25"/>
      <c r="G119" s="25"/>
      <c r="H119" s="25"/>
      <c r="I119" s="25"/>
      <c r="J119" s="25"/>
    </row>
    <row r="120" spans="2:10" ht="16.5" customHeight="1">
      <c r="B120" s="25"/>
      <c r="C120" s="25"/>
      <c r="D120" s="25"/>
      <c r="E120" s="25"/>
      <c r="F120" s="25"/>
      <c r="G120" s="25"/>
      <c r="H120" s="25"/>
      <c r="I120" s="25"/>
      <c r="J120" s="25"/>
    </row>
    <row r="121" spans="2:10" ht="16.5" customHeight="1">
      <c r="B121" s="25"/>
      <c r="C121" s="25"/>
      <c r="D121" s="25"/>
      <c r="E121" s="25"/>
      <c r="F121" s="25"/>
      <c r="G121" s="25"/>
      <c r="H121" s="25"/>
      <c r="I121" s="25"/>
      <c r="J121" s="25"/>
    </row>
    <row r="122" spans="2:10" ht="16.5" customHeight="1">
      <c r="B122" s="25"/>
      <c r="C122" s="25"/>
      <c r="D122" s="25"/>
      <c r="E122" s="25"/>
      <c r="F122" s="25"/>
      <c r="G122" s="25"/>
      <c r="H122" s="25"/>
      <c r="I122" s="25"/>
      <c r="J122" s="25"/>
    </row>
    <row r="123" spans="2:10" ht="16.5" customHeight="1">
      <c r="B123" s="25"/>
      <c r="C123" s="25"/>
      <c r="D123" s="25"/>
      <c r="E123" s="25"/>
      <c r="F123" s="25"/>
      <c r="G123" s="25"/>
      <c r="H123" s="25"/>
      <c r="I123" s="25"/>
      <c r="J123" s="25"/>
    </row>
    <row r="124" spans="2:10" ht="16.5" customHeight="1">
      <c r="B124" s="25"/>
      <c r="C124" s="25"/>
      <c r="D124" s="25"/>
      <c r="E124" s="25"/>
      <c r="F124" s="25"/>
      <c r="G124" s="25"/>
      <c r="H124" s="25"/>
      <c r="I124" s="25"/>
      <c r="J124" s="25"/>
    </row>
    <row r="125" spans="2:10" ht="16.5" customHeight="1">
      <c r="B125" s="25"/>
      <c r="C125" s="25"/>
      <c r="D125" s="25"/>
      <c r="E125" s="25"/>
      <c r="F125" s="25"/>
      <c r="G125" s="25"/>
      <c r="H125" s="25"/>
      <c r="I125" s="25"/>
      <c r="J125" s="25"/>
    </row>
    <row r="126" spans="2:10" ht="16.5" customHeight="1">
      <c r="B126" s="25"/>
      <c r="C126" s="25"/>
      <c r="D126" s="25"/>
      <c r="E126" s="25"/>
      <c r="F126" s="25"/>
      <c r="G126" s="25"/>
      <c r="H126" s="25"/>
      <c r="I126" s="25"/>
      <c r="J126" s="25"/>
    </row>
    <row r="127" spans="2:10" ht="16.5" customHeight="1">
      <c r="B127" s="25"/>
      <c r="C127" s="25"/>
      <c r="D127" s="25"/>
      <c r="E127" s="25"/>
      <c r="F127" s="25"/>
      <c r="G127" s="25"/>
      <c r="H127" s="25"/>
      <c r="I127" s="25"/>
      <c r="J127" s="25"/>
    </row>
    <row r="128" spans="2:10" ht="16.5" customHeight="1">
      <c r="B128" s="25"/>
      <c r="C128" s="25"/>
      <c r="D128" s="25"/>
      <c r="E128" s="25"/>
      <c r="F128" s="25"/>
      <c r="G128" s="25"/>
      <c r="H128" s="25"/>
      <c r="I128" s="25"/>
      <c r="J128" s="25"/>
    </row>
    <row r="129" spans="2:10" ht="16.5" customHeight="1">
      <c r="B129" s="25"/>
      <c r="C129" s="25"/>
      <c r="D129" s="25"/>
      <c r="E129" s="25"/>
      <c r="F129" s="25"/>
      <c r="G129" s="25"/>
      <c r="H129" s="25"/>
      <c r="I129" s="25"/>
      <c r="J129" s="25"/>
    </row>
    <row r="130" spans="2:10" ht="16.5" customHeight="1">
      <c r="B130" s="25"/>
      <c r="C130" s="25"/>
      <c r="D130" s="25"/>
      <c r="E130" s="25"/>
      <c r="F130" s="25"/>
      <c r="G130" s="25"/>
      <c r="H130" s="25"/>
      <c r="I130" s="25"/>
      <c r="J130" s="25"/>
    </row>
    <row r="131" spans="2:10" ht="16.5" customHeight="1">
      <c r="B131" s="25"/>
      <c r="C131" s="25"/>
      <c r="D131" s="25"/>
      <c r="E131" s="25"/>
      <c r="F131" s="25"/>
      <c r="G131" s="25"/>
      <c r="H131" s="25"/>
      <c r="I131" s="25"/>
      <c r="J131" s="25"/>
    </row>
    <row r="132" spans="2:10" ht="16.5" customHeight="1">
      <c r="B132" s="25"/>
      <c r="C132" s="25"/>
      <c r="D132" s="25"/>
      <c r="E132" s="25"/>
      <c r="F132" s="25"/>
      <c r="G132" s="25"/>
      <c r="H132" s="25"/>
      <c r="I132" s="25"/>
      <c r="J132" s="25"/>
    </row>
    <row r="133" spans="2:10" ht="16.5" customHeight="1">
      <c r="B133" s="25"/>
      <c r="C133" s="25"/>
      <c r="D133" s="25"/>
      <c r="E133" s="25"/>
      <c r="F133" s="25"/>
      <c r="G133" s="25"/>
      <c r="H133" s="25"/>
      <c r="I133" s="25"/>
      <c r="J133" s="25"/>
    </row>
    <row r="134" spans="2:10" ht="16.5" customHeight="1">
      <c r="B134" s="25"/>
      <c r="C134" s="25"/>
      <c r="D134" s="25"/>
      <c r="E134" s="25"/>
      <c r="F134" s="25"/>
      <c r="G134" s="25"/>
      <c r="H134" s="25"/>
      <c r="I134" s="25"/>
      <c r="J134" s="25"/>
    </row>
    <row r="135" spans="2:10" ht="16.5" customHeight="1">
      <c r="B135" s="25"/>
      <c r="C135" s="25"/>
      <c r="D135" s="25"/>
      <c r="E135" s="25"/>
      <c r="F135" s="25"/>
      <c r="G135" s="25"/>
      <c r="H135" s="25"/>
      <c r="I135" s="25"/>
      <c r="J135" s="25"/>
    </row>
    <row r="136" spans="2:10" ht="16.5" customHeight="1">
      <c r="B136" s="25"/>
      <c r="C136" s="25"/>
      <c r="D136" s="25"/>
      <c r="E136" s="25"/>
      <c r="F136" s="25"/>
      <c r="G136" s="25"/>
      <c r="H136" s="25"/>
      <c r="I136" s="25"/>
      <c r="J136" s="25"/>
    </row>
    <row r="137" spans="2:10" ht="16.5" customHeight="1">
      <c r="B137" s="25"/>
      <c r="C137" s="25"/>
      <c r="D137" s="25"/>
      <c r="E137" s="25"/>
      <c r="F137" s="25"/>
      <c r="G137" s="25"/>
      <c r="H137" s="25"/>
      <c r="I137" s="25"/>
      <c r="J137" s="25"/>
    </row>
    <row r="138" spans="2:10" ht="16.5" customHeight="1">
      <c r="B138" s="25"/>
      <c r="C138" s="25"/>
      <c r="D138" s="25"/>
      <c r="E138" s="25"/>
      <c r="F138" s="25"/>
      <c r="G138" s="25"/>
      <c r="H138" s="25"/>
      <c r="I138" s="25"/>
      <c r="J138" s="25"/>
    </row>
    <row r="139" spans="2:10" ht="16.5" customHeight="1">
      <c r="B139" s="25"/>
      <c r="C139" s="25"/>
      <c r="D139" s="25"/>
      <c r="E139" s="25"/>
      <c r="F139" s="25"/>
      <c r="G139" s="25"/>
      <c r="H139" s="25"/>
      <c r="I139" s="25"/>
      <c r="J139" s="25"/>
    </row>
    <row r="140" spans="2:10" ht="16.5" customHeight="1">
      <c r="B140" s="25"/>
      <c r="C140" s="25"/>
      <c r="D140" s="25"/>
      <c r="E140" s="25"/>
      <c r="F140" s="25"/>
      <c r="G140" s="25"/>
      <c r="H140" s="25"/>
      <c r="I140" s="25"/>
      <c r="J140" s="25"/>
    </row>
    <row r="141" spans="2:10" ht="16.5" customHeight="1">
      <c r="B141" s="25"/>
      <c r="C141" s="25"/>
      <c r="D141" s="25"/>
      <c r="E141" s="25"/>
      <c r="F141" s="25"/>
      <c r="G141" s="25"/>
      <c r="H141" s="25"/>
      <c r="I141" s="25"/>
      <c r="J141" s="25"/>
    </row>
    <row r="142" spans="2:10" ht="16.5" customHeight="1">
      <c r="B142" s="25"/>
      <c r="C142" s="25"/>
      <c r="D142" s="25"/>
      <c r="E142" s="25"/>
      <c r="F142" s="25"/>
      <c r="G142" s="25"/>
      <c r="H142" s="25"/>
      <c r="I142" s="25"/>
      <c r="J142" s="25"/>
    </row>
    <row r="143" spans="2:10" ht="16.5" customHeight="1">
      <c r="B143" s="25"/>
      <c r="C143" s="25"/>
      <c r="D143" s="25"/>
      <c r="E143" s="25"/>
      <c r="F143" s="25"/>
      <c r="G143" s="25"/>
      <c r="H143" s="25"/>
      <c r="I143" s="25"/>
      <c r="J143" s="25"/>
    </row>
    <row r="144" spans="2:10" ht="16.5" customHeight="1">
      <c r="B144" s="25"/>
      <c r="C144" s="25"/>
      <c r="D144" s="25"/>
      <c r="E144" s="25"/>
      <c r="F144" s="25"/>
      <c r="G144" s="25"/>
      <c r="H144" s="25"/>
      <c r="I144" s="25"/>
      <c r="J144" s="25"/>
    </row>
    <row r="145" spans="2:10" ht="16.5" customHeight="1">
      <c r="B145" s="25"/>
      <c r="C145" s="25"/>
      <c r="D145" s="25"/>
      <c r="E145" s="25"/>
      <c r="F145" s="25"/>
      <c r="G145" s="25"/>
      <c r="H145" s="25"/>
      <c r="I145" s="25"/>
      <c r="J145" s="25"/>
    </row>
    <row r="146" spans="2:10" ht="16.5" customHeight="1">
      <c r="B146" s="25"/>
      <c r="C146" s="25"/>
      <c r="D146" s="25"/>
      <c r="E146" s="25"/>
      <c r="F146" s="25"/>
      <c r="G146" s="25"/>
      <c r="H146" s="25"/>
      <c r="I146" s="25"/>
      <c r="J146" s="25"/>
    </row>
    <row r="147" spans="2:10" ht="16.5" customHeight="1">
      <c r="B147" s="25"/>
      <c r="C147" s="25"/>
      <c r="D147" s="25"/>
      <c r="E147" s="25"/>
      <c r="F147" s="25"/>
      <c r="G147" s="25"/>
      <c r="H147" s="25"/>
      <c r="I147" s="25"/>
      <c r="J147" s="25"/>
    </row>
    <row r="148" spans="2:10" ht="16.5" customHeight="1">
      <c r="B148" s="25"/>
      <c r="C148" s="25"/>
      <c r="D148" s="25"/>
      <c r="E148" s="25"/>
      <c r="F148" s="25"/>
      <c r="G148" s="25"/>
      <c r="H148" s="25"/>
      <c r="I148" s="25"/>
      <c r="J148" s="25"/>
    </row>
    <row r="149" spans="2:10" ht="16.5" customHeight="1">
      <c r="B149" s="25"/>
      <c r="C149" s="25"/>
      <c r="D149" s="25"/>
      <c r="E149" s="25"/>
      <c r="F149" s="25"/>
      <c r="G149" s="25"/>
      <c r="H149" s="25"/>
      <c r="I149" s="25"/>
      <c r="J149" s="25"/>
    </row>
    <row r="150" spans="2:10" ht="16.5" customHeight="1">
      <c r="B150" s="25"/>
      <c r="C150" s="25"/>
      <c r="D150" s="25"/>
      <c r="E150" s="25"/>
      <c r="F150" s="25"/>
      <c r="G150" s="25"/>
      <c r="H150" s="25"/>
      <c r="I150" s="25"/>
      <c r="J150" s="25"/>
    </row>
    <row r="151" spans="2:10" ht="16.5" customHeight="1">
      <c r="B151" s="25"/>
      <c r="C151" s="25"/>
      <c r="D151" s="25"/>
      <c r="E151" s="25"/>
      <c r="F151" s="25"/>
      <c r="G151" s="25"/>
      <c r="H151" s="25"/>
      <c r="I151" s="25"/>
      <c r="J151" s="25"/>
    </row>
    <row r="152" spans="2:10" ht="16.5" customHeight="1">
      <c r="B152" s="25"/>
      <c r="C152" s="25"/>
      <c r="D152" s="25"/>
      <c r="E152" s="25"/>
      <c r="F152" s="25"/>
      <c r="G152" s="25"/>
      <c r="H152" s="25"/>
      <c r="I152" s="25"/>
      <c r="J152" s="25"/>
    </row>
    <row r="153" spans="2:10" ht="16.5" customHeight="1">
      <c r="B153" s="25"/>
      <c r="C153" s="25"/>
      <c r="D153" s="25"/>
      <c r="E153" s="25"/>
      <c r="F153" s="25"/>
      <c r="G153" s="25"/>
      <c r="H153" s="25"/>
      <c r="I153" s="25"/>
      <c r="J153" s="25"/>
    </row>
    <row r="154" spans="2:10" ht="16.5" customHeight="1">
      <c r="B154" s="25"/>
      <c r="C154" s="25"/>
      <c r="D154" s="25"/>
      <c r="E154" s="25"/>
      <c r="F154" s="25"/>
      <c r="G154" s="25"/>
      <c r="H154" s="25"/>
      <c r="I154" s="25"/>
      <c r="J154" s="25"/>
    </row>
    <row r="155" spans="2:10" ht="16.5" customHeight="1">
      <c r="B155" s="25"/>
      <c r="C155" s="25"/>
      <c r="D155" s="25"/>
      <c r="E155" s="25"/>
      <c r="F155" s="25"/>
      <c r="G155" s="25"/>
      <c r="H155" s="25"/>
      <c r="I155" s="25"/>
      <c r="J155" s="25"/>
    </row>
    <row r="156" spans="2:10" ht="16.5" customHeight="1">
      <c r="B156" s="25"/>
      <c r="C156" s="25"/>
      <c r="D156" s="25"/>
      <c r="E156" s="25"/>
      <c r="F156" s="25"/>
      <c r="G156" s="25"/>
      <c r="H156" s="25"/>
      <c r="I156" s="25"/>
      <c r="J156" s="25"/>
    </row>
    <row r="157" spans="2:10" ht="16.5" customHeight="1">
      <c r="B157" s="25"/>
      <c r="C157" s="25"/>
      <c r="D157" s="25"/>
      <c r="E157" s="25"/>
      <c r="F157" s="25"/>
      <c r="G157" s="25"/>
      <c r="H157" s="25"/>
      <c r="I157" s="25"/>
      <c r="J157" s="25"/>
    </row>
    <row r="158" spans="2:10" ht="16.5" customHeight="1">
      <c r="B158" s="25"/>
      <c r="C158" s="25"/>
      <c r="D158" s="25"/>
      <c r="E158" s="25"/>
      <c r="F158" s="25"/>
      <c r="G158" s="25"/>
      <c r="H158" s="25"/>
      <c r="I158" s="25"/>
      <c r="J158" s="25"/>
    </row>
    <row r="159" spans="2:10" ht="16.5" customHeight="1">
      <c r="B159" s="25"/>
      <c r="C159" s="25"/>
      <c r="D159" s="25"/>
      <c r="E159" s="25"/>
      <c r="F159" s="25"/>
      <c r="G159" s="25"/>
      <c r="H159" s="25"/>
      <c r="I159" s="25"/>
      <c r="J159" s="25"/>
    </row>
    <row r="160" spans="2:10" ht="16.5" customHeight="1">
      <c r="B160" s="25"/>
      <c r="C160" s="25"/>
      <c r="D160" s="25"/>
      <c r="E160" s="25"/>
      <c r="F160" s="25"/>
      <c r="G160" s="25"/>
      <c r="H160" s="25"/>
      <c r="I160" s="25"/>
      <c r="J160" s="25"/>
    </row>
    <row r="161" spans="2:10" ht="16.5" customHeight="1">
      <c r="B161" s="25"/>
      <c r="C161" s="25"/>
      <c r="D161" s="25"/>
      <c r="E161" s="25"/>
      <c r="F161" s="25"/>
      <c r="G161" s="25"/>
      <c r="H161" s="25"/>
      <c r="I161" s="25"/>
      <c r="J161" s="25"/>
    </row>
    <row r="162" spans="2:10" ht="16.5" customHeight="1">
      <c r="B162" s="25"/>
      <c r="C162" s="25"/>
      <c r="D162" s="25"/>
      <c r="E162" s="25"/>
      <c r="F162" s="25"/>
      <c r="G162" s="25"/>
      <c r="H162" s="25"/>
      <c r="I162" s="25"/>
      <c r="J162" s="25"/>
    </row>
    <row r="163" spans="2:10" ht="16.5" customHeight="1">
      <c r="B163" s="25"/>
      <c r="C163" s="25"/>
      <c r="D163" s="25"/>
      <c r="E163" s="25"/>
      <c r="F163" s="25"/>
      <c r="G163" s="25"/>
      <c r="H163" s="25"/>
      <c r="I163" s="25"/>
      <c r="J163" s="25"/>
    </row>
    <row r="164" spans="2:10" ht="16.5" customHeight="1">
      <c r="B164" s="25"/>
      <c r="C164" s="25"/>
      <c r="D164" s="25"/>
      <c r="E164" s="25"/>
      <c r="F164" s="25"/>
      <c r="G164" s="25"/>
      <c r="H164" s="25"/>
      <c r="I164" s="25"/>
      <c r="J164" s="25"/>
    </row>
    <row r="165" spans="2:10" ht="16.5" customHeight="1">
      <c r="B165" s="25"/>
      <c r="C165" s="25"/>
      <c r="D165" s="25"/>
      <c r="E165" s="25"/>
      <c r="F165" s="25"/>
      <c r="G165" s="25"/>
      <c r="H165" s="25"/>
      <c r="I165" s="25"/>
      <c r="J165" s="25"/>
    </row>
    <row r="166" spans="2:10" ht="16.5" customHeight="1">
      <c r="B166" s="25"/>
      <c r="C166" s="25"/>
      <c r="D166" s="25"/>
      <c r="E166" s="25"/>
      <c r="F166" s="25"/>
      <c r="G166" s="25"/>
      <c r="H166" s="25"/>
      <c r="I166" s="25"/>
      <c r="J166" s="25"/>
    </row>
    <row r="167" spans="2:10" ht="16.5" customHeight="1">
      <c r="B167" s="25"/>
      <c r="C167" s="25"/>
      <c r="D167" s="25"/>
      <c r="E167" s="25"/>
      <c r="F167" s="25"/>
      <c r="G167" s="25"/>
      <c r="H167" s="25"/>
      <c r="I167" s="25"/>
      <c r="J167" s="25"/>
    </row>
    <row r="168" spans="2:10" ht="16.5" customHeight="1">
      <c r="B168" s="25"/>
      <c r="C168" s="25"/>
      <c r="D168" s="25"/>
      <c r="E168" s="25"/>
      <c r="F168" s="25"/>
      <c r="G168" s="25"/>
      <c r="H168" s="25"/>
      <c r="I168" s="25"/>
      <c r="J168" s="25"/>
    </row>
    <row r="169" spans="2:10" ht="16.5" customHeight="1">
      <c r="B169" s="25"/>
      <c r="C169" s="25"/>
      <c r="D169" s="25"/>
      <c r="E169" s="25"/>
      <c r="F169" s="25"/>
      <c r="G169" s="25"/>
      <c r="H169" s="25"/>
      <c r="I169" s="25"/>
      <c r="J169" s="25"/>
    </row>
    <row r="170" spans="2:10" ht="16.5" customHeight="1">
      <c r="B170" s="25"/>
      <c r="C170" s="25"/>
      <c r="D170" s="25"/>
      <c r="E170" s="25"/>
      <c r="F170" s="25"/>
      <c r="G170" s="25"/>
      <c r="H170" s="25"/>
      <c r="I170" s="25"/>
      <c r="J170" s="25"/>
    </row>
    <row r="171" spans="2:10" ht="16.5" customHeight="1">
      <c r="B171" s="25"/>
      <c r="C171" s="25"/>
      <c r="D171" s="25"/>
      <c r="E171" s="25"/>
      <c r="F171" s="25"/>
      <c r="G171" s="25"/>
      <c r="H171" s="25"/>
      <c r="I171" s="25"/>
      <c r="J171" s="25"/>
    </row>
    <row r="172" spans="2:10" ht="16.5" customHeight="1">
      <c r="B172" s="25"/>
      <c r="C172" s="25"/>
      <c r="D172" s="25"/>
      <c r="E172" s="25"/>
      <c r="F172" s="25"/>
      <c r="G172" s="25"/>
      <c r="H172" s="25"/>
      <c r="I172" s="25"/>
      <c r="J172" s="25"/>
    </row>
    <row r="173" spans="2:10" ht="16.5" customHeight="1">
      <c r="B173" s="25"/>
      <c r="C173" s="25"/>
      <c r="D173" s="25"/>
      <c r="E173" s="25"/>
      <c r="F173" s="25"/>
      <c r="G173" s="25"/>
      <c r="H173" s="25"/>
      <c r="I173" s="25"/>
      <c r="J173" s="25"/>
    </row>
    <row r="174" spans="2:10" ht="16.5" customHeight="1">
      <c r="B174" s="25"/>
      <c r="C174" s="25"/>
      <c r="D174" s="25"/>
      <c r="E174" s="25"/>
      <c r="F174" s="25"/>
      <c r="G174" s="25"/>
      <c r="H174" s="25"/>
      <c r="I174" s="25"/>
      <c r="J174" s="25"/>
    </row>
    <row r="175" spans="2:10" ht="16.5" customHeight="1">
      <c r="B175" s="25"/>
      <c r="C175" s="25"/>
      <c r="D175" s="25"/>
      <c r="E175" s="25"/>
      <c r="F175" s="25"/>
      <c r="G175" s="25"/>
      <c r="H175" s="25"/>
      <c r="I175" s="25"/>
      <c r="J175" s="25"/>
    </row>
    <row r="176" spans="2:10" ht="16.5" customHeight="1">
      <c r="B176" s="25"/>
      <c r="C176" s="25"/>
      <c r="D176" s="25"/>
      <c r="E176" s="25"/>
      <c r="F176" s="25"/>
      <c r="G176" s="25"/>
      <c r="H176" s="25"/>
      <c r="I176" s="25"/>
      <c r="J176" s="25"/>
    </row>
    <row r="177" spans="2:10" ht="16.5" customHeight="1">
      <c r="B177" s="25"/>
      <c r="C177" s="25"/>
      <c r="D177" s="25"/>
      <c r="E177" s="25"/>
      <c r="F177" s="25"/>
      <c r="G177" s="25"/>
      <c r="H177" s="25"/>
      <c r="I177" s="25"/>
      <c r="J177" s="25"/>
    </row>
    <row r="178" spans="2:10" ht="16.5" customHeight="1">
      <c r="B178" s="25"/>
      <c r="C178" s="25"/>
      <c r="D178" s="25"/>
      <c r="E178" s="25"/>
      <c r="F178" s="25"/>
      <c r="G178" s="25"/>
      <c r="H178" s="25"/>
      <c r="I178" s="25"/>
      <c r="J178" s="25"/>
    </row>
    <row r="179" spans="2:10" ht="16.5" customHeight="1">
      <c r="B179" s="25"/>
      <c r="C179" s="25"/>
      <c r="D179" s="25"/>
      <c r="E179" s="25"/>
      <c r="F179" s="25"/>
      <c r="G179" s="25"/>
      <c r="H179" s="25"/>
      <c r="I179" s="25"/>
      <c r="J179" s="25"/>
    </row>
    <row r="180" spans="2:10" ht="16.5" customHeight="1">
      <c r="B180" s="25"/>
      <c r="C180" s="25"/>
      <c r="D180" s="25"/>
      <c r="E180" s="25"/>
      <c r="F180" s="25"/>
      <c r="G180" s="25"/>
      <c r="H180" s="25"/>
      <c r="I180" s="25"/>
      <c r="J180" s="25"/>
    </row>
    <row r="181" spans="2:10" ht="16.5" customHeight="1">
      <c r="B181" s="25"/>
      <c r="C181" s="25"/>
      <c r="D181" s="25"/>
      <c r="E181" s="25"/>
      <c r="F181" s="25"/>
      <c r="G181" s="25"/>
      <c r="H181" s="25"/>
      <c r="I181" s="25"/>
      <c r="J181" s="25"/>
    </row>
    <row r="182" spans="2:10" ht="16.5" customHeight="1">
      <c r="B182" s="25"/>
      <c r="C182" s="25"/>
      <c r="D182" s="25"/>
      <c r="E182" s="25"/>
      <c r="F182" s="25"/>
      <c r="G182" s="25"/>
      <c r="H182" s="25"/>
      <c r="I182" s="25"/>
      <c r="J182" s="25"/>
    </row>
    <row r="183" spans="2:10" ht="16.5" customHeight="1">
      <c r="B183" s="25"/>
      <c r="C183" s="25"/>
      <c r="D183" s="25"/>
      <c r="E183" s="25"/>
      <c r="F183" s="25"/>
      <c r="G183" s="25"/>
      <c r="H183" s="25"/>
      <c r="I183" s="25"/>
      <c r="J183" s="25"/>
    </row>
    <row r="184" spans="2:10" ht="16.5" customHeight="1">
      <c r="B184" s="25"/>
      <c r="C184" s="25"/>
      <c r="D184" s="25"/>
      <c r="E184" s="25"/>
      <c r="F184" s="25"/>
      <c r="G184" s="25"/>
      <c r="H184" s="25"/>
      <c r="I184" s="25"/>
      <c r="J184" s="25"/>
    </row>
    <row r="185" spans="2:10" ht="16.5" customHeight="1">
      <c r="B185" s="25"/>
      <c r="C185" s="25"/>
      <c r="D185" s="25"/>
      <c r="E185" s="25"/>
      <c r="F185" s="25"/>
      <c r="G185" s="25"/>
      <c r="H185" s="25"/>
      <c r="I185" s="25"/>
      <c r="J185" s="25"/>
    </row>
    <row r="186" spans="2:10" ht="16.5" customHeight="1">
      <c r="B186" s="25"/>
      <c r="C186" s="25"/>
      <c r="D186" s="25"/>
      <c r="E186" s="25"/>
      <c r="F186" s="25"/>
      <c r="G186" s="25"/>
      <c r="H186" s="25"/>
      <c r="I186" s="25"/>
      <c r="J186" s="25"/>
    </row>
    <row r="187" spans="2:10" ht="16.5" customHeight="1">
      <c r="B187" s="25"/>
      <c r="C187" s="25"/>
      <c r="D187" s="25"/>
      <c r="E187" s="25"/>
      <c r="F187" s="25"/>
      <c r="G187" s="25"/>
      <c r="H187" s="25"/>
      <c r="I187" s="25"/>
      <c r="J187" s="25"/>
    </row>
    <row r="188" spans="2:10" ht="16.5" customHeight="1">
      <c r="B188" s="25"/>
      <c r="C188" s="25"/>
      <c r="D188" s="25"/>
      <c r="E188" s="25"/>
      <c r="F188" s="25"/>
      <c r="G188" s="25"/>
      <c r="H188" s="25"/>
      <c r="I188" s="25"/>
      <c r="J188" s="25"/>
    </row>
    <row r="189" spans="2:10" ht="16.5" customHeight="1">
      <c r="B189" s="25"/>
      <c r="C189" s="25"/>
      <c r="D189" s="25"/>
      <c r="E189" s="25"/>
      <c r="F189" s="25"/>
      <c r="G189" s="25"/>
      <c r="H189" s="25"/>
      <c r="I189" s="25"/>
      <c r="J189" s="25"/>
    </row>
    <row r="190" spans="2:10" ht="16.5" customHeight="1">
      <c r="B190" s="25"/>
      <c r="C190" s="25"/>
      <c r="D190" s="25"/>
      <c r="E190" s="25"/>
      <c r="F190" s="25"/>
      <c r="G190" s="25"/>
      <c r="H190" s="25"/>
      <c r="I190" s="25"/>
      <c r="J190" s="25"/>
    </row>
    <row r="191" spans="2:10" ht="16.5" customHeight="1">
      <c r="B191" s="25"/>
      <c r="C191" s="25"/>
      <c r="D191" s="25"/>
      <c r="E191" s="25"/>
      <c r="F191" s="25"/>
      <c r="G191" s="25"/>
      <c r="H191" s="25"/>
      <c r="I191" s="25"/>
      <c r="J191" s="25"/>
    </row>
    <row r="192" spans="2:10" ht="16.5" customHeight="1">
      <c r="B192" s="25"/>
      <c r="C192" s="25"/>
      <c r="D192" s="25"/>
      <c r="E192" s="25"/>
      <c r="F192" s="25"/>
      <c r="G192" s="25"/>
      <c r="H192" s="25"/>
      <c r="I192" s="25"/>
      <c r="J192" s="25"/>
    </row>
    <row r="193" spans="2:10" ht="16.5" customHeight="1">
      <c r="B193" s="25"/>
      <c r="C193" s="25"/>
      <c r="D193" s="25"/>
      <c r="E193" s="25"/>
      <c r="F193" s="25"/>
      <c r="G193" s="25"/>
      <c r="H193" s="25"/>
      <c r="I193" s="25"/>
      <c r="J193" s="25"/>
    </row>
    <row r="194" spans="2:10" ht="16.5" customHeight="1">
      <c r="B194" s="25"/>
      <c r="C194" s="25"/>
      <c r="D194" s="25"/>
      <c r="E194" s="25"/>
      <c r="F194" s="25"/>
      <c r="G194" s="25"/>
      <c r="H194" s="25"/>
      <c r="I194" s="25"/>
      <c r="J194" s="25"/>
    </row>
    <row r="195" spans="2:10" ht="16.5" customHeight="1">
      <c r="B195" s="25"/>
      <c r="C195" s="25"/>
      <c r="D195" s="25"/>
      <c r="E195" s="25"/>
      <c r="F195" s="25"/>
      <c r="G195" s="25"/>
      <c r="H195" s="25"/>
      <c r="I195" s="25"/>
      <c r="J195" s="25"/>
    </row>
    <row r="196" spans="2:10" ht="16.5" customHeight="1">
      <c r="B196" s="25"/>
      <c r="C196" s="25"/>
      <c r="D196" s="25"/>
      <c r="E196" s="25"/>
      <c r="F196" s="25"/>
      <c r="G196" s="25"/>
      <c r="H196" s="25"/>
      <c r="I196" s="25"/>
      <c r="J196" s="25"/>
    </row>
    <row r="197" spans="2:10" ht="16.5" customHeight="1">
      <c r="B197" s="25"/>
      <c r="C197" s="25"/>
      <c r="D197" s="25"/>
      <c r="E197" s="25"/>
      <c r="F197" s="25"/>
      <c r="G197" s="25"/>
      <c r="H197" s="25"/>
      <c r="I197" s="25"/>
      <c r="J197" s="25"/>
    </row>
    <row r="198" spans="2:10" ht="16.5" customHeight="1">
      <c r="B198" s="25"/>
      <c r="C198" s="25"/>
      <c r="D198" s="25"/>
      <c r="E198" s="25"/>
      <c r="F198" s="25"/>
      <c r="G198" s="25"/>
      <c r="H198" s="25"/>
      <c r="I198" s="25"/>
      <c r="J198" s="25"/>
    </row>
    <row r="199" spans="2:10" ht="16.5" customHeight="1">
      <c r="B199" s="25"/>
      <c r="C199" s="25"/>
      <c r="D199" s="25"/>
      <c r="E199" s="25"/>
      <c r="F199" s="25"/>
      <c r="G199" s="25"/>
      <c r="H199" s="25"/>
      <c r="I199" s="25"/>
      <c r="J199" s="25"/>
    </row>
    <row r="200" spans="2:10" ht="16.5" customHeight="1">
      <c r="B200" s="25"/>
      <c r="C200" s="25"/>
      <c r="D200" s="25"/>
      <c r="E200" s="25"/>
      <c r="F200" s="25"/>
      <c r="G200" s="25"/>
      <c r="H200" s="25"/>
      <c r="I200" s="25"/>
      <c r="J200" s="25"/>
    </row>
    <row r="201" spans="2:10" ht="16.5" customHeight="1">
      <c r="B201" s="25"/>
      <c r="C201" s="25"/>
      <c r="D201" s="25"/>
      <c r="E201" s="25"/>
      <c r="F201" s="25"/>
      <c r="G201" s="25"/>
      <c r="H201" s="25"/>
      <c r="I201" s="25"/>
      <c r="J201" s="25"/>
    </row>
    <row r="202" spans="2:10" ht="16.5" customHeight="1">
      <c r="B202" s="25"/>
      <c r="C202" s="25"/>
      <c r="D202" s="25"/>
      <c r="E202" s="25"/>
      <c r="F202" s="25"/>
      <c r="G202" s="25"/>
      <c r="H202" s="25"/>
      <c r="I202" s="25"/>
      <c r="J202" s="25"/>
    </row>
    <row r="203" spans="2:10" ht="16.5" customHeight="1">
      <c r="B203" s="25"/>
      <c r="C203" s="25"/>
      <c r="D203" s="25"/>
      <c r="E203" s="25"/>
      <c r="F203" s="25"/>
      <c r="G203" s="25"/>
      <c r="H203" s="25"/>
      <c r="I203" s="25"/>
      <c r="J203" s="25"/>
    </row>
    <row r="204" spans="2:10" ht="16.5" customHeight="1">
      <c r="B204" s="25"/>
      <c r="C204" s="25"/>
      <c r="D204" s="25"/>
      <c r="E204" s="25"/>
      <c r="F204" s="25"/>
      <c r="G204" s="25"/>
      <c r="H204" s="25"/>
      <c r="I204" s="25"/>
      <c r="J204" s="25"/>
    </row>
    <row r="205" spans="2:10" ht="16.5" customHeight="1"/>
    <row r="206" spans="2:10" ht="16.5" customHeight="1"/>
    <row r="207" spans="2:10" ht="16.5" customHeight="1"/>
    <row r="208" spans="2:10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phoneticPr fontId="15" type="noConversion"/>
  <dataValidations count="1">
    <dataValidation type="custom" allowBlank="1" showDropDown="1" sqref="D3:D27 G3:J27" xr:uid="{00000000-0002-0000-0000-000000000000}">
      <formula1>AND(ISNUMBER(D3),(NOT(OR(NOT(ISERROR(DATEVALUE(D3))), AND(ISNUMBER(D3), LEFT(CELL("format", D3))="D")))))</formula1>
    </dataValidation>
  </dataValidations>
  <hyperlinks>
    <hyperlink ref="L47" r:id="rId1" xr:uid="{00000000-0004-0000-0000-000000000000}"/>
  </hyperlinks>
  <pageMargins left="0.7" right="0.7" top="0.75" bottom="0.75" header="0" footer="0"/>
  <pageSetup orientation="landscape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이영욱</dc:creator>
  <cp:lastModifiedBy>김아론</cp:lastModifiedBy>
  <dcterms:created xsi:type="dcterms:W3CDTF">2025-05-10T04:11:30Z</dcterms:created>
  <dcterms:modified xsi:type="dcterms:W3CDTF">2025-05-17T13:17:14Z</dcterms:modified>
</cp:coreProperties>
</file>